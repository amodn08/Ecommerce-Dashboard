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7D303358-6317-4273-BC15-CE747E943FF9}" xr6:coauthVersionLast="47" xr6:coauthVersionMax="47" xr10:uidLastSave="{00000000-0000-0000-0000-000000000000}"/>
  <bookViews>
    <workbookView xWindow="-110" yWindow="-110" windowWidth="19420" windowHeight="10300" tabRatio="707" activeTab="3" xr2:uid="{346724B3-1C49-40AE-AA36-C77CF5D6DD09}"/>
  </bookViews>
  <sheets>
    <sheet name="Pivots" sheetId="5" r:id="rId1"/>
    <sheet name="Data" sheetId="1" r:id="rId2"/>
    <sheet name="Questions &amp; KPIs" sheetId="2" r:id="rId3"/>
    <sheet name="Dashboard" sheetId="3" r:id="rId4"/>
    <sheet name="Logo &amp; Colors" sheetId="4" r:id="rId5"/>
  </sheets>
  <definedNames>
    <definedName name="_xlchart.v5.0" hidden="1">Pivots!$F$61:$G$61</definedName>
    <definedName name="_xlchart.v5.1" hidden="1">Pivots!$F$62:$G$119</definedName>
    <definedName name="_xlchart.v5.2" hidden="1">Pivots!$H$62:$H$119</definedName>
    <definedName name="_xlchart.v5.3" hidden="1">Pivots!$K$61:$L$61</definedName>
    <definedName name="_xlchart.v5.4" hidden="1">Pivots!$K$62:$L$119</definedName>
    <definedName name="_xlchart.v5.5" hidden="1">Pivots!$M$62:$M$119</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63" i="5" l="1"/>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62" i="5"/>
  <c r="F62"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63" i="5"/>
  <c r="J24" i="5"/>
  <c r="K24" i="5"/>
  <c r="L24" i="5"/>
  <c r="M24" i="5"/>
  <c r="I25" i="5"/>
  <c r="J25" i="5"/>
  <c r="K25" i="5"/>
  <c r="L25" i="5"/>
  <c r="M25" i="5"/>
  <c r="I26" i="5"/>
  <c r="J26" i="5"/>
  <c r="K26" i="5"/>
  <c r="L26" i="5"/>
  <c r="M26" i="5"/>
  <c r="I27" i="5"/>
  <c r="J27" i="5"/>
  <c r="K27" i="5"/>
  <c r="L27" i="5"/>
  <c r="M27" i="5"/>
  <c r="I28" i="5"/>
  <c r="J28" i="5"/>
  <c r="K28" i="5"/>
  <c r="L28" i="5"/>
  <c r="M28" i="5"/>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<sst xmlns="http://schemas.openxmlformats.org/spreadsheetml/2006/main" count="14784" uniqueCount="2561">
  <si>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</si>
  <si>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</si>
  <si>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</si>
  <si>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</si>
  <si>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</si>
  <si>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</si>
  <si>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</si>
  <si>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</si>
  <si>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</si>
  <si>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</si>
  <si>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</si>
  <si>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</si>
  <si>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</si>
  <si>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</si>
  <si>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</si>
  <si>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</si>
  <si>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</si>
  <si>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</si>
  <si>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</si>
  <si>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</si>
  <si>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</si>
  <si>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</si>
  <si>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</si>
  <si>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</si>
  <si>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</si>
  <si>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</si>
  <si>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</si>
  <si>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</si>
  <si>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</si>
  <si>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</si>
  <si>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</si>
  <si>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</si>
  <si>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</si>
  <si>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</si>
  <si>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</si>
  <si>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</si>
  <si>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</si>
  <si>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</si>
  <si>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</si>
  <si>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</si>
  <si>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</si>
  <si>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</si>
  <si>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</si>
  <si>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</si>
  <si>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</si>
  <si>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</si>
  <si>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</si>
  <si>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</si>
  <si>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</si>
  <si>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</si>
  <si>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</si>
  <si>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</si>
  <si>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</si>
  <si>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</si>
  <si>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</si>
  <si>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</si>
  <si>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</si>
  <si>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</si>
  <si>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</si>
  <si>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</si>
  <si>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</si>
  <si>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</si>
  <si>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</si>
  <si>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</si>
  <si>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</si>
  <si>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</si>
  <si>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</si>
  <si>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</si>
  <si>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</si>
  <si>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</si>
  <si>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</si>
  <si>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</si>
  <si>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</si>
  <si>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</si>
  <si>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</si>
  <si>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</si>
  <si>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</si>
  <si>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</si>
  <si>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</si>
  <si>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</si>
  <si>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</si>
  <si>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</si>
  <si>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</si>
  <si>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</si>
  <si>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</si>
  <si>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</si>
  <si>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</si>
  <si>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</si>
  <si>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</si>
  <si>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</si>
  <si>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</si>
  <si>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</si>
  <si>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</si>
  <si>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</si>
  <si>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</si>
  <si>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</si>
  <si>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</si>
  <si>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</si>
  <si>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</si>
  <si>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</si>
  <si>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</si>
  <si>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</si>
  <si>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</si>
  <si>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</si>
  <si>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</si>
  <si>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</si>
  <si>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</si>
  <si>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</si>
  <si>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</si>
  <si>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</si>
  <si>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</si>
  <si>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</si>
  <si>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</si>
  <si>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</si>
  <si>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</si>
  <si>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</si>
  <si>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</si>
  <si>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</si>
  <si>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</si>
  <si>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</si>
  <si>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</si>
  <si>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</si>
  <si>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</si>
  <si>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</si>
  <si>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</si>
  <si>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</si>
  <si>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</si>
  <si>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</si>
  <si>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</si>
  <si>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</si>
  <si>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</si>
  <si>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</si>
  <si>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</si>
  <si>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</si>
  <si>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</si>
  <si>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</si>
  <si>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</si>
  <si>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</si>
  <si>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</si>
  <si>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</si>
  <si>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</si>
  <si>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</si>
  <si>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</si>
  <si>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</si>
  <si>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</si>
  <si>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</si>
  <si>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</si>
  <si>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</si>
  <si>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</si>
  <si>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</si>
  <si>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</si>
  <si>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</si>
  <si>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</si>
  <si>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</si>
  <si>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</si>
  <si>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</si>
  <si>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</si>
  <si>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</si>
  <si>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</si>
  <si>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</si>
  <si>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</si>
  <si>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</si>
  <si>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</si>
  <si>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</si>
  <si>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</si>
  <si>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</si>
  <si>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</si>
  <si>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</si>
  <si>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</si>
  <si>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</si>
  <si>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</si>
  <si>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</si>
  <si>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</si>
  <si>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</si>
  <si>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</si>
  <si>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</si>
  <si>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</si>
  <si>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</si>
  <si>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</si>
  <si>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</si>
  <si>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</si>
  <si>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</si>
  <si>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</si>
  <si>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</si>
  <si>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</si>
  <si>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</si>
  <si>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</si>
  <si>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</si>
  <si>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</si>
  <si>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</si>
  <si>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</si>
  <si>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</si>
  <si>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</si>
  <si>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</si>
  <si>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</si>
  <si>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</si>
  <si>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</si>
  <si>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</si>
  <si>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</si>
  <si>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</si>
  <si>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</si>
  <si>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</si>
  <si>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</si>
  <si>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</si>
  <si>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</si>
  <si>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</si>
  <si>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</si>
  <si>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</si>
  <si>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</si>
  <si>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</si>
  <si>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</si>
  <si>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</si>
  <si>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</si>
  <si>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</si>
  <si>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</si>
  <si>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</si>
  <si>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</si>
  <si>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</si>
  <si>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</si>
  <si>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</si>
  <si>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</si>
  <si>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</si>
  <si>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</si>
  <si>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</si>
  <si>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</si>
  <si>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</si>
  <si>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</si>
  <si>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</si>
  <si>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</si>
  <si>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</si>
  <si>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</si>
  <si>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</si>
  <si>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</si>
  <si>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</si>
  <si>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</si>
  <si>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</si>
  <si>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</si>
  <si>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</si>
  <si>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</si>
  <si>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</si>
  <si>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</si>
  <si>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</si>
  <si>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</si>
  <si>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</si>
  <si>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</si>
  <si>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</si>
  <si>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</si>
  <si>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</si>
  <si>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</si>
  <si>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</si>
  <si>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</si>
  <si>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</si>
  <si>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</si>
  <si>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</si>
  <si>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</si>
  <si>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</si>
  <si>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</si>
  <si>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</si>
  <si>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</si>
  <si>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</si>
  <si>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</si>
  <si>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</si>
  <si>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</si>
  <si>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</si>
  <si>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</si>
  <si>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</si>
  <si>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</si>
  <si>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</si>
  <si>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</si>
  <si>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</si>
  <si>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</si>
  <si>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</si>
  <si>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</si>
  <si>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</si>
  <si>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</si>
  <si>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</si>
  <si>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</si>
  <si>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</si>
  <si>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</si>
  <si>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</si>
  <si>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</si>
  <si>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</si>
  <si>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</si>
  <si>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</si>
  <si>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</si>
  <si>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</si>
  <si>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</si>
  <si>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</si>
  <si>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</si>
  <si>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</si>
  <si>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</si>
  <si>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</si>
  <si>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</si>
  <si>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</si>
  <si>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</si>
  <si>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</si>
  <si>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</si>
  <si>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</si>
  <si>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</si>
  <si>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</si>
  <si>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</si>
  <si>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</si>
  <si>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</si>
  <si>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</si>
  <si>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</si>
  <si>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</si>
  <si>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</si>
  <si>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</si>
  <si>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</si>
  <si>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</si>
  <si>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</si>
  <si>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</si>
  <si>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</si>
  <si>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</si>
  <si>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</si>
  <si>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</si>
  <si>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</si>
  <si>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</si>
  <si>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</si>
  <si>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</si>
  <si>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</si>
  <si>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</si>
  <si>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</si>
  <si>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</si>
  <si>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</si>
  <si>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</si>
  <si>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</si>
  <si>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</si>
  <si>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</si>
  <si>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</si>
  <si>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</si>
  <si>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</si>
  <si>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</si>
  <si>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</si>
  <si>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</si>
  <si>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</si>
  <si>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</si>
  <si>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</si>
  <si>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</si>
  <si>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</si>
  <si>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</si>
  <si>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</si>
  <si>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</si>
  <si>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</si>
  <si>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</si>
  <si>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</si>
  <si>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</si>
  <si>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</si>
  <si>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</si>
  <si>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</si>
  <si>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</si>
  <si>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</si>
  <si>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</si>
  <si>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</si>
  <si>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</si>
  <si>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</si>
  <si>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</si>
  <si>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</si>
  <si>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</si>
  <si>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</si>
  <si>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</si>
  <si>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</si>
  <si>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</si>
  <si>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</si>
  <si>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</si>
  <si>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</si>
  <si>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</si>
  <si>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</si>
  <si>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</si>
  <si>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</si>
  <si>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</si>
  <si>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</si>
  <si>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</si>
  <si>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</si>
  <si>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</si>
  <si>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</si>
  <si>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</si>
  <si>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</si>
  <si>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</si>
  <si>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</si>
  <si>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</si>
  <si>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</si>
  <si>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</si>
  <si>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</si>
  <si>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</si>
  <si>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</si>
  <si>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</si>
  <si>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</si>
  <si>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</si>
  <si>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</si>
  <si>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</si>
  <si>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</si>
  <si>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</si>
  <si>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</si>
  <si>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</si>
  <si>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</si>
  <si>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</si>
  <si>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</si>
  <si>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</si>
  <si>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</si>
  <si>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</si>
  <si>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</si>
  <si>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</si>
  <si>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</si>
  <si>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</si>
  <si>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</si>
  <si>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</si>
  <si>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</si>
  <si>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</si>
  <si>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</si>
  <si>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</si>
  <si>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</si>
  <si>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</si>
  <si>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</si>
  <si>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</si>
  <si>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</si>
  <si>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</si>
  <si>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</si>
  <si>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</si>
  <si>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</si>
  <si>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</si>
  <si>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</si>
  <si>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</si>
  <si>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</si>
  <si>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</si>
  <si>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</si>
  <si>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</si>
  <si>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</si>
  <si>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</si>
  <si>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</si>
  <si>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</si>
  <si>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</si>
  <si>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</si>
  <si>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</si>
  <si>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</si>
  <si>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</si>
  <si>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</si>
  <si>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</si>
  <si>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</si>
  <si>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</si>
  <si>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</si>
  <si>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</si>
  <si>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</si>
  <si>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</si>
  <si>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</si>
  <si>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</si>
  <si>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</si>
  <si>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</si>
  <si>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</si>
  <si>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</si>
  <si>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</si>
  <si>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</si>
  <si>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</si>
  <si>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</si>
  <si>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</si>
  <si>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</si>
  <si>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</si>
  <si>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</si>
  <si>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</si>
  <si>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</si>
  <si>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</si>
  <si>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</si>
  <si>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</si>
  <si>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</si>
  <si>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</si>
  <si>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</si>
  <si>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</si>
  <si>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</si>
  <si>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</si>
  <si>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</si>
  <si>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</si>
  <si>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</si>
  <si>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</si>
  <si>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</si>
  <si>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</si>
  <si>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</si>
  <si>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</si>
  <si>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</si>
  <si>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</si>
  <si>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</si>
  <si>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</si>
  <si>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</si>
  <si>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</si>
  <si>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</si>
  <si>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</si>
  <si>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</si>
  <si>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</si>
  <si>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</si>
  <si>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</si>
  <si>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</si>
  <si>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</si>
  <si>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</si>
  <si>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</si>
  <si>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</si>
  <si>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</si>
  <si>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</si>
  <si>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</si>
  <si>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</si>
  <si>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</si>
  <si>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</si>
  <si>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</si>
  <si>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</si>
  <si>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</si>
  <si>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</si>
  <si>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</si>
  <si>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</si>
  <si>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</si>
  <si>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</si>
  <si>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</si>
  <si>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</si>
  <si>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</si>
  <si>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</si>
  <si>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</si>
  <si>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</si>
  <si>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</si>
  <si>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</si>
  <si>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</si>
  <si>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</si>
  <si>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</si>
  <si>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</si>
  <si>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</si>
  <si>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</si>
  <si>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</si>
  <si>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</si>
  <si>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</si>
  <si>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</si>
  <si>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</si>
  <si>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</si>
  <si>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</si>
  <si>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</si>
  <si>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</si>
  <si>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</si>
  <si>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</si>
  <si>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</si>
  <si>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</si>
  <si>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</si>
  <si>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</si>
  <si>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</si>
  <si>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</si>
  <si>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</si>
  <si>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</si>
  <si>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</si>
  <si>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</si>
  <si>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</si>
  <si>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</si>
  <si>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</si>
  <si>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</si>
  <si>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</si>
  <si>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</si>
  <si>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</si>
  <si>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</si>
  <si>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</si>
  <si>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</si>
  <si>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</si>
  <si>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</si>
  <si>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</si>
  <si>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</si>
  <si>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</si>
  <si>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</si>
  <si>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</si>
  <si>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</si>
  <si>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</si>
  <si>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</si>
  <si>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</si>
  <si>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</si>
  <si>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</si>
  <si>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</si>
  <si>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</si>
  <si>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</si>
  <si>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</si>
  <si>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</si>
  <si>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</si>
  <si>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</si>
  <si>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</si>
  <si>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</si>
  <si>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</si>
  <si>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</si>
  <si>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</si>
  <si>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</si>
  <si>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</si>
  <si>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</si>
  <si>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</si>
  <si>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</si>
  <si>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</si>
  <si>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</si>
  <si>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</si>
  <si>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</si>
  <si>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</si>
  <si>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</si>
  <si>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</si>
  <si>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</si>
  <si>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</si>
  <si>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</si>
  <si>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</si>
  <si>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</si>
  <si>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</si>
  <si>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</si>
  <si>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</si>
  <si>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</si>
  <si>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</si>
  <si>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</si>
  <si>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</si>
  <si>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</si>
  <si>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</si>
  <si>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</si>
  <si>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</si>
  <si>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</si>
  <si>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</si>
  <si>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</si>
  <si>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</si>
  <si>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</si>
  <si>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</si>
  <si>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</si>
  <si>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</si>
  <si>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</si>
  <si>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</si>
  <si>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</si>
  <si>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</si>
  <si>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</si>
  <si>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</si>
  <si>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</si>
  <si>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</si>
  <si>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</si>
  <si>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</si>
  <si>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</si>
  <si>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</si>
  <si>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</si>
  <si>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</si>
  <si>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</si>
  <si>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</si>
  <si>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</si>
  <si>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</si>
  <si>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</si>
  <si>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</si>
  <si>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</si>
  <si>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</si>
  <si>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</si>
  <si>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</si>
  <si>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</si>
  <si>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</si>
  <si>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</si>
  <si>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</si>
  <si>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</si>
  <si>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</si>
  <si>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</si>
  <si>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</si>
  <si>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</si>
  <si>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</si>
  <si>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</si>
  <si>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</si>
  <si>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</si>
  <si>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</si>
  <si>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</si>
  <si>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</si>
  <si>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</si>
  <si>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</si>
  <si>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</si>
  <si>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</si>
  <si>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</si>
  <si>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</si>
  <si>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</si>
  <si>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</si>
  <si>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</si>
  <si>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</si>
  <si>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</si>
  <si>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</si>
  <si>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</si>
  <si>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</si>
  <si>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</si>
  <si>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</si>
  <si>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</si>
  <si>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</si>
  <si>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</si>
  <si>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</si>
  <si>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</si>
  <si>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</si>
  <si>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</si>
  <si>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</si>
  <si>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</si>
  <si>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</si>
  <si>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</si>
  <si>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</si>
  <si>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</si>
  <si>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</si>
  <si>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</si>
  <si>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</si>
  <si>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</si>
  <si>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</si>
  <si>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</si>
  <si>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</si>
  <si>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</si>
  <si>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</si>
  <si>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</si>
  <si>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</si>
  <si>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</si>
  <si>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</si>
  <si>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</si>
  <si>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</si>
  <si>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</si>
  <si>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</si>
  <si>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</si>
  <si>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</si>
  <si>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</si>
  <si>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</si>
  <si>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</si>
  <si>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</si>
  <si>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</si>
  <si>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</si>
  <si>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</si>
  <si>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</si>
  <si>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</si>
  <si>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</si>
  <si>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</si>
  <si>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</si>
  <si>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</si>
  <si>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</si>
  <si>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</si>
  <si>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</si>
  <si>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</si>
  <si>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</si>
  <si>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</si>
  <si>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</si>
  <si>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</si>
  <si>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</si>
  <si>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</si>
  <si>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</si>
  <si>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</si>
  <si>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</si>
  <si>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</si>
  <si>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</si>
  <si>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</si>
  <si>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</si>
  <si>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</si>
  <si>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</si>
  <si>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</si>
  <si>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</si>
  <si>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</si>
  <si>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</si>
  <si>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</si>
  <si>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</si>
  <si>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</si>
  <si>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</si>
  <si>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</si>
  <si>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</si>
  <si>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</si>
  <si>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</si>
  <si>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</si>
  <si>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</si>
  <si>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</si>
  <si>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</si>
  <si>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</si>
  <si>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</si>
  <si>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</si>
  <si>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</si>
  <si>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</si>
  <si>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</si>
  <si>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</si>
  <si>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</si>
  <si>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</si>
  <si>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</si>
  <si>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</si>
  <si>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</si>
  <si>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</si>
  <si>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</si>
  <si>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</si>
  <si>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</si>
  <si>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</si>
  <si>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</si>
  <si>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</si>
  <si>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</si>
  <si>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</si>
  <si>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</si>
  <si>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</si>
  <si>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</si>
  <si>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</si>
  <si>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</si>
  <si>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</si>
  <si>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</si>
  <si>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</si>
  <si>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</si>
  <si>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</si>
  <si>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</si>
  <si>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</si>
  <si>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</si>
  <si>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</si>
  <si>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</si>
  <si>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</si>
  <si>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</si>
  <si>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</si>
  <si>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</si>
  <si>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</si>
  <si>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</si>
  <si>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</si>
  <si>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</si>
  <si>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</si>
  <si>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</si>
  <si>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</si>
  <si>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</si>
  <si>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</si>
  <si>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</si>
  <si>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</si>
  <si>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</si>
  <si>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</si>
  <si>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</si>
  <si>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</si>
  <si>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</si>
  <si>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</si>
  <si>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</si>
  <si>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</si>
  <si>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</si>
  <si>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</si>
  <si>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</si>
  <si>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</si>
  <si>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</si>
  <si>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</si>
  <si>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</si>
  <si>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</si>
  <si>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</si>
  <si>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</si>
  <si>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</si>
  <si>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</si>
  <si>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</si>
  <si>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</si>
  <si>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</si>
  <si>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</si>
  <si>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</si>
  <si>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</si>
  <si>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</si>
  <si>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</si>
  <si>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</si>
  <si>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</si>
  <si>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</si>
  <si>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</si>
  <si>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</si>
  <si>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</si>
  <si>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</si>
  <si>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</si>
  <si>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</si>
  <si>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</si>
  <si>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</si>
  <si>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</si>
  <si>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</si>
  <si>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</si>
  <si>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</si>
  <si>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</si>
  <si>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</si>
  <si>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</si>
  <si>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</si>
  <si>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</si>
  <si>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</si>
  <si>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</si>
  <si>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</si>
  <si>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</si>
  <si>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</si>
  <si>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</si>
  <si>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</si>
  <si>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</si>
  <si>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</si>
  <si>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</si>
  <si>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</si>
  <si>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</si>
  <si>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</si>
  <si>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</si>
  <si>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</si>
  <si>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</si>
  <si>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</si>
  <si>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</si>
  <si>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</si>
  <si>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</si>
  <si>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</si>
  <si>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</si>
  <si>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</si>
  <si>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</si>
  <si>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</si>
  <si>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</si>
  <si>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</si>
  <si>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</si>
  <si>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</si>
  <si>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</si>
  <si>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</si>
  <si>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</si>
  <si>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</si>
  <si>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</si>
  <si>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</si>
  <si>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</si>
  <si>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</si>
  <si>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</si>
  <si>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</si>
  <si>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</si>
  <si>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</si>
  <si>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</si>
  <si>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</si>
  <si>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</si>
  <si>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</si>
  <si>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</si>
  <si>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</si>
  <si>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</si>
  <si>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</si>
  <si>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</si>
  <si>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</si>
  <si>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</si>
  <si>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</si>
  <si>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</si>
  <si>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</si>
  <si>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</si>
  <si>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</si>
  <si>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</si>
  <si>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</si>
  <si>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</si>
  <si>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</si>
  <si>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</si>
  <si>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</si>
  <si>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</si>
  <si>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</si>
  <si>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</si>
  <si>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</si>
  <si>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</si>
  <si>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</si>
  <si>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</si>
  <si>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</si>
  <si>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</si>
  <si>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</si>
  <si>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</si>
  <si>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</si>
  <si>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</si>
  <si>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</si>
  <si>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</si>
  <si>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</si>
  <si>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</si>
  <si>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</si>
  <si>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</si>
  <si>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</si>
  <si>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</si>
  <si>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</si>
  <si>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</si>
  <si>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</si>
  <si>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</si>
  <si>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</si>
  <si>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</si>
  <si>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</si>
  <si>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</si>
  <si>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</si>
  <si>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</si>
  <si>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</si>
  <si>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</si>
  <si>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</si>
  <si>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</si>
  <si>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</si>
  <si>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</si>
  <si>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</si>
  <si>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</si>
  <si>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</si>
  <si>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</si>
  <si>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</si>
  <si>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</si>
  <si>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</si>
  <si>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</si>
  <si>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</si>
  <si>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</si>
  <si>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</si>
  <si>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</si>
  <si>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</si>
  <si>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</si>
  <si>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</si>
  <si>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</si>
  <si>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</si>
  <si>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</si>
  <si>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</si>
  <si>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</si>
  <si>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</si>
  <si>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</si>
  <si>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</si>
  <si>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</si>
  <si>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</si>
  <si>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</si>
  <si>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</si>
  <si>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</si>
  <si>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</si>
  <si>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</si>
  <si>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</si>
  <si>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</si>
  <si>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</si>
  <si>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</si>
  <si>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</si>
  <si>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</si>
  <si>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</si>
  <si>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</si>
  <si>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</si>
  <si>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</si>
  <si>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</si>
  <si>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</si>
  <si>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</si>
  <si>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</si>
  <si>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</si>
  <si>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</si>
  <si>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</si>
  <si>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</si>
  <si>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</si>
  <si>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</si>
  <si>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</si>
  <si>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</si>
  <si>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</si>
  <si>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</si>
  <si>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</si>
  <si>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</si>
  <si>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</si>
  <si>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</si>
  <si>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</si>
  <si>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</si>
  <si>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</si>
  <si>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</si>
  <si>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</si>
  <si>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</si>
  <si>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</si>
  <si>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</si>
  <si>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</si>
  <si>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</si>
  <si>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</si>
  <si>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</si>
  <si>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</si>
  <si>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</si>
  <si>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</si>
  <si>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</si>
  <si>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</si>
  <si>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</si>
  <si>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</si>
  <si>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</si>
  <si>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</si>
  <si>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</si>
  <si>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</si>
  <si>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</si>
  <si>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</si>
  <si>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</si>
  <si>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</si>
  <si>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</si>
  <si>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</si>
  <si>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</si>
  <si>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</si>
  <si>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</si>
  <si>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</si>
  <si>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</si>
  <si>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</si>
  <si>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</si>
  <si>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</si>
  <si>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</si>
  <si>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</si>
  <si>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</si>
  <si>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</si>
  <si>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</si>
  <si>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</si>
  <si>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</si>
  <si>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</si>
  <si>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</si>
  <si>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</si>
  <si>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</si>
  <si>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</si>
  <si>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</si>
  <si>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</si>
  <si>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</si>
  <si>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</si>
  <si>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</si>
  <si>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</si>
  <si>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</si>
  <si>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</si>
  <si>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</si>
  <si>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</si>
  <si>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</si>
  <si>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</si>
  <si>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</si>
  <si>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</si>
  <si>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</si>
  <si>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</si>
  <si>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</si>
  <si>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</si>
  <si>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</si>
  <si>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</si>
  <si>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</si>
  <si>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</si>
  <si>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</si>
  <si>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</si>
  <si>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</si>
  <si>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</si>
  <si>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</si>
  <si>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</si>
  <si>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</si>
  <si>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</si>
  <si>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</si>
  <si>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</si>
  <si>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</si>
  <si>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</si>
  <si>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</si>
  <si>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</si>
  <si>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</si>
  <si>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</si>
  <si>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</si>
  <si>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</si>
  <si>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</si>
  <si>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</si>
  <si>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</si>
  <si>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</si>
  <si>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</si>
  <si>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</si>
  <si>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</si>
  <si>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</si>
  <si>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</si>
  <si>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</si>
  <si>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</si>
  <si>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</si>
  <si>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</si>
  <si>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</si>
  <si>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</si>
  <si>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</si>
  <si>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</si>
  <si>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</si>
  <si>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</si>
  <si>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</si>
  <si>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</si>
  <si>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</si>
  <si>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</si>
  <si>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</si>
  <si>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</si>
  <si>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</si>
  <si>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</si>
  <si>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</si>
  <si>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</si>
  <si>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</si>
  <si>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</si>
  <si>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</si>
  <si>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</si>
  <si>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</si>
  <si>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</si>
  <si>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</si>
  <si>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</si>
  <si>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</si>
  <si>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</si>
  <si>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</si>
  <si>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</si>
  <si>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</si>
  <si>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</si>
  <si>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</si>
  <si>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</si>
  <si>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</si>
  <si>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</si>
  <si>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</si>
  <si>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</si>
  <si>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</si>
  <si>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</si>
  <si>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</si>
  <si>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</si>
  <si>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</si>
  <si>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</si>
  <si>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</si>
  <si>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</si>
  <si>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</si>
  <si>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</si>
  <si>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</si>
  <si>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</si>
  <si>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</si>
  <si>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</si>
  <si>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</si>
  <si>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</si>
  <si>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</si>
  <si>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</si>
  <si>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</si>
  <si>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</si>
  <si>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</si>
  <si>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</si>
  <si>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</si>
  <si>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</si>
  <si>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</si>
  <si>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</si>
  <si>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</si>
  <si>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</si>
  <si>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</si>
  <si>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</si>
  <si>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</si>
  <si>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</si>
  <si>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</si>
  <si>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</si>
  <si>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</si>
  <si>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</si>
  <si>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</si>
  <si>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</si>
  <si>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</si>
  <si>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</si>
  <si>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</si>
  <si>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</si>
  <si>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</si>
  <si>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</si>
  <si>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</si>
  <si>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</si>
  <si>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</si>
  <si>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</si>
  <si>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</si>
  <si>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</si>
  <si>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</si>
  <si>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</si>
  <si>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</si>
  <si>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</si>
  <si>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</si>
  <si>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</si>
  <si>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</si>
  <si>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</si>
  <si>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</si>
  <si>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</si>
  <si>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</si>
  <si>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</si>
  <si>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</si>
  <si>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</si>
  <si>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</si>
  <si>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</si>
  <si>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</si>
  <si>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</si>
  <si>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</si>
  <si>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</si>
  <si>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</si>
  <si>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</si>
  <si>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</si>
  <si>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</si>
  <si>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</si>
  <si>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</si>
  <si>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</si>
  <si>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</si>
  <si>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</si>
  <si>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</si>
  <si>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</si>
  <si>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</si>
  <si>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</si>
  <si>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</si>
  <si>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</si>
  <si>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</si>
  <si>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</si>
  <si>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</si>
  <si>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</si>
  <si>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</si>
  <si>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</si>
  <si>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</si>
  <si>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</si>
  <si>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</si>
  <si>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</si>
  <si>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</si>
  <si>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</si>
  <si>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</si>
  <si>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</si>
  <si>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</si>
  <si>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</si>
  <si>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</si>
  <si>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</si>
  <si>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</si>
  <si>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</si>
  <si>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</si>
  <si>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</si>
  <si>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</si>
  <si>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</si>
  <si>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</si>
  <si>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</si>
  <si>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</si>
  <si>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</si>
  <si>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</si>
  <si>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</si>
  <si>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</si>
  <si>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</si>
  <si>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</si>
  <si>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</si>
  <si>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</si>
  <si>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</si>
  <si>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</si>
  <si>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</si>
  <si>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</si>
  <si>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</si>
  <si>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</si>
  <si>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</si>
  <si>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</si>
  <si>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</si>
  <si>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</si>
  <si>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</si>
  <si>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</si>
  <si>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</si>
  <si>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</si>
  <si>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</si>
  <si>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</si>
  <si>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</si>
  <si>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</si>
  <si>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</si>
  <si>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</si>
  <si>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</si>
  <si>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</si>
  <si>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</si>
  <si>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</si>
  <si>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</si>
  <si>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</si>
  <si>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</si>
  <si>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</si>
  <si>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</si>
  <si>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</si>
  <si>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</si>
  <si>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</si>
  <si>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</si>
  <si>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</si>
  <si>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</si>
  <si>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</si>
  <si>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</si>
  <si>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</si>
  <si>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</si>
  <si>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</si>
  <si>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</si>
  <si>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</si>
  <si>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</si>
  <si>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</si>
  <si>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</si>
  <si>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</si>
  <si>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</si>
  <si>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</si>
  <si>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</si>
  <si>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</si>
  <si>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</si>
  <si>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</si>
  <si>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</si>
  <si>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</si>
  <si>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</si>
  <si>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</si>
  <si>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</si>
  <si>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</si>
  <si>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</si>
  <si>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</si>
  <si>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</si>
  <si>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</si>
  <si>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</si>
  <si>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</si>
  <si>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</si>
  <si>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</si>
  <si>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</si>
  <si>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</si>
  <si>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</si>
  <si>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</si>
  <si>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</si>
  <si>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</si>
  <si>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</si>
  <si>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</si>
  <si>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</si>
  <si>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</si>
  <si>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</si>
  <si>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</si>
  <si>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</si>
  <si>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</si>
  <si>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</si>
  <si>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</si>
  <si>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</si>
  <si>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</si>
  <si>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</si>
  <si>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</si>
  <si>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</si>
  <si>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</si>
  <si>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</si>
  <si>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</si>
  <si>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</si>
  <si>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</si>
  <si>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</si>
  <si>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</si>
  <si>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</si>
  <si>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</si>
  <si>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</si>
  <si>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</si>
  <si>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</si>
  <si>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</si>
  <si>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</si>
  <si>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</si>
  <si>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</si>
  <si>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</si>
  <si>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</si>
  <si>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</si>
  <si>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</si>
  <si>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</si>
  <si>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</si>
  <si>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</si>
  <si>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</si>
  <si>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</si>
  <si>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</si>
  <si>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</si>
  <si>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</si>
  <si>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</si>
  <si>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</si>
  <si>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</si>
  <si>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</si>
  <si>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</si>
  <si>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</si>
  <si>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</si>
  <si>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</si>
  <si>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</si>
  <si>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</si>
  <si>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</si>
  <si>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</si>
  <si>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</si>
  <si>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</si>
  <si>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</si>
  <si>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</si>
  <si>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</si>
  <si>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</si>
  <si>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</si>
  <si>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</si>
  <si>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</si>
  <si>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</si>
  <si>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</si>
  <si>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</si>
  <si>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</si>
  <si>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</si>
  <si>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</si>
  <si>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</si>
  <si>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</si>
  <si>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</si>
  <si>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</si>
  <si>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</si>
  <si>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</si>
  <si>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</si>
  <si>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</si>
  <si>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</si>
  <si>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</si>
  <si>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</si>
  <si>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</si>
  <si>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</si>
  <si>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</si>
  <si>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</si>
  <si>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</si>
  <si>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</si>
  <si>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</si>
  <si>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</si>
  <si>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</si>
  <si>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</si>
  <si>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</si>
  <si>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</si>
  <si>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</si>
  <si>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</si>
  <si>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</si>
  <si>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</si>
  <si>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</si>
  <si>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</si>
  <si>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</si>
  <si>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</si>
  <si>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</si>
  <si>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</si>
  <si>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</si>
  <si>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</si>
  <si>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</si>
  <si>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</si>
  <si>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</si>
  <si>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</si>
  <si>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</si>
  <si>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</si>
  <si>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</si>
  <si>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</si>
  <si>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</si>
  <si>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</si>
  <si>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</si>
  <si>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</si>
  <si>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</si>
  <si>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</si>
  <si>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</si>
  <si>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</si>
  <si>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</si>
  <si>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</si>
  <si>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</si>
  <si>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</si>
  <si>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</si>
  <si>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</si>
  <si>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</si>
  <si>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</si>
  <si>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</si>
  <si>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</si>
  <si>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</si>
  <si>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</si>
  <si>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</si>
  <si>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</si>
  <si>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</si>
  <si>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</si>
  <si>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</si>
  <si>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</si>
  <si>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</si>
  <si>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</si>
  <si>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</si>
  <si>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</si>
  <si>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</si>
  <si>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</si>
  <si>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</si>
  <si>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</si>
  <si>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</si>
  <si>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</si>
  <si>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</si>
  <si>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</si>
  <si>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</si>
  <si>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</si>
  <si>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</si>
  <si>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</si>
  <si>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</si>
  <si>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</si>
  <si>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</si>
  <si>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</si>
  <si>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</si>
  <si>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</si>
  <si>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</si>
  <si>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</si>
  <si>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</si>
  <si>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</si>
  <si>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</si>
  <si>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</si>
  <si>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</si>
  <si>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</si>
  <si>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</si>
  <si>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</si>
  <si>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</si>
  <si>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</si>
  <si>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</si>
  <si>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</si>
  <si>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</si>
  <si>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</si>
  <si>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</si>
  <si>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</si>
  <si>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</si>
  <si>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</si>
  <si>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</si>
  <si>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</si>
  <si>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</si>
  <si>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</si>
  <si>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</si>
  <si>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</si>
  <si>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</si>
  <si>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</si>
  <si>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</si>
  <si>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</si>
  <si>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</si>
  <si>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</si>
  <si>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</si>
  <si>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</si>
  <si>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</si>
  <si>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</si>
  <si>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</si>
  <si>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</si>
  <si>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</si>
  <si>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</si>
  <si>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</si>
  <si>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</si>
  <si>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</si>
  <si>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</si>
  <si>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</si>
  <si>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</si>
  <si>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</si>
  <si>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</si>
  <si>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</si>
  <si>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</si>
  <si>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</si>
  <si>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</si>
  <si>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</si>
  <si>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</si>
  <si>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</si>
  <si>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</si>
  <si>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</si>
  <si>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</si>
  <si>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</si>
  <si>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</si>
  <si>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</si>
  <si>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</si>
  <si>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</si>
  <si>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</si>
  <si>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</si>
  <si>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</si>
  <si>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</si>
  <si>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</si>
  <si>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</si>
  <si>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</si>
  <si>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</si>
  <si>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</si>
  <si>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</si>
  <si>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</si>
  <si>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</si>
  <si>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</si>
  <si>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</si>
  <si>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</si>
  <si>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</si>
  <si>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</si>
  <si>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</si>
  <si>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</si>
  <si>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</si>
  <si>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</si>
  <si>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</si>
  <si>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</si>
  <si>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</si>
  <si>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</si>
  <si>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</si>
  <si>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</si>
  <si>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</si>
  <si>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</si>
  <si>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</si>
  <si>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</si>
  <si>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</si>
  <si>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</si>
  <si>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</si>
  <si>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</si>
  <si>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</si>
  <si>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</si>
  <si>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</si>
  <si>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</si>
  <si>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</si>
  <si>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</si>
  <si>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</si>
  <si>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</si>
  <si>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</si>
  <si>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</si>
  <si>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</si>
  <si>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</si>
  <si>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</si>
  <si>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</si>
  <si>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</si>
  <si>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</si>
  <si>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</si>
  <si>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</si>
  <si>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</si>
  <si>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</si>
  <si>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</si>
  <si>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</si>
  <si>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</si>
  <si>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</si>
  <si>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</si>
  <si>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</si>
  <si>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</si>
  <si>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</si>
  <si>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</si>
  <si>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</si>
  <si>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</si>
  <si>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</si>
  <si>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</si>
  <si>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</si>
  <si>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</si>
  <si>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</si>
  <si>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</si>
  <si>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</si>
  <si>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</si>
  <si>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</si>
  <si>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</si>
  <si>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</si>
  <si>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</si>
  <si>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</si>
  <si>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</si>
  <si>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</si>
  <si>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</si>
  <si>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</si>
  <si>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</si>
  <si>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</si>
  <si>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</si>
  <si>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</si>
  <si>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</si>
  <si>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</si>
  <si>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</si>
  <si>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</si>
  <si>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</si>
  <si>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</si>
  <si>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</si>
  <si>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</si>
  <si>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</si>
  <si>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</si>
  <si>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</si>
  <si>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</si>
  <si>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</si>
  <si>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</si>
  <si>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</si>
  <si>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</si>
  <si>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</si>
  <si>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</si>
  <si>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</si>
  <si>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</si>
  <si>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</si>
  <si>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</si>
  <si>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</si>
  <si>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</si>
  <si>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</si>
  <si>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</si>
  <si>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</si>
  <si>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</si>
  <si>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</si>
  <si>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</si>
  <si>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</si>
  <si>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</si>
  <si>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</si>
  <si>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</si>
  <si>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</si>
  <si>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</si>
  <si>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</si>
  <si>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</si>
  <si>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</si>
  <si>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</si>
  <si>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</si>
  <si>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</si>
  <si>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</si>
  <si>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</si>
  <si>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</si>
  <si>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</si>
  <si>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</si>
  <si>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</si>
  <si>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</si>
  <si>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</si>
  <si>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</si>
  <si>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</si>
  <si>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</si>
  <si>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</si>
  <si>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</si>
  <si>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</si>
  <si>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</si>
  <si>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</si>
  <si>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</si>
  <si>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</si>
  <si>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</si>
  <si>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</si>
  <si>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</si>
  <si>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</si>
  <si>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</si>
  <si>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</si>
  <si>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</si>
  <si>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</si>
  <si>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</si>
  <si>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</si>
  <si>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</si>
  <si>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</si>
  <si>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</si>
  <si>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</si>
  <si>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</si>
  <si>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</si>
  <si>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</si>
  <si>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</si>
  <si>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</si>
  <si>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</si>
  <si>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</si>
  <si>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</si>
  <si>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</si>
  <si>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</si>
  <si>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</si>
  <si>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</si>
  <si>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</si>
  <si>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</si>
  <si>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</si>
  <si>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</si>
  <si>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</si>
  <si>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</si>
  <si>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</si>
  <si>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</si>
  <si>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</si>
  <si>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</si>
  <si>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</si>
  <si>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</si>
  <si>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</si>
  <si>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</si>
  <si>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</si>
  <si>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</si>
  <si>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</si>
  <si>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</si>
  <si>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</si>
  <si>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</si>
  <si>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</si>
  <si>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</si>
  <si>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</si>
  <si>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</si>
  <si>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</si>
  <si>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</si>
  <si>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</si>
  <si>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</si>
  <si>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</si>
  <si>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</si>
  <si>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</si>
  <si>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</si>
  <si>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</si>
  <si>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</si>
  <si>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</si>
  <si>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</si>
  <si>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</si>
  <si>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</si>
  <si>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</si>
  <si>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</si>
  <si>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</si>
  <si>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</si>
  <si>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</si>
  <si>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</si>
  <si>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</si>
  <si>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</si>
  <si>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</si>
  <si>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</si>
  <si>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</si>
  <si>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</si>
  <si>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</si>
  <si>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</si>
  <si>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</si>
  <si>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</si>
  <si>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</si>
  <si>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</si>
  <si>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</si>
  <si>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</si>
  <si>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</si>
  <si>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</si>
  <si>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</si>
  <si>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</si>
  <si>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</si>
  <si>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</si>
  <si>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</si>
  <si>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</si>
  <si>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</si>
  <si>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</si>
  <si>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</si>
  <si>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</si>
  <si>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</si>
  <si>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</si>
  <si>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</si>
  <si>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</si>
  <si>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</si>
  <si>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</si>
  <si>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</si>
  <si>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</si>
  <si>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</si>
  <si>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</si>
  <si>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</si>
  <si>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</si>
  <si>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</si>
  <si>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</si>
  <si>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</si>
  <si>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</si>
  <si>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</si>
  <si>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</si>
  <si>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</si>
  <si>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</si>
  <si>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</si>
  <si>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</si>
  <si>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</si>
  <si>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</si>
  <si>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</si>
  <si>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</si>
  <si>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</si>
  <si>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</si>
  <si>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</si>
  <si>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</si>
  <si>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</si>
  <si>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</si>
  <si>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</si>
  <si>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</si>
  <si>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</si>
  <si>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</si>
  <si>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</si>
  <si>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</si>
  <si>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</si>
  <si>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</si>
  <si>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</si>
  <si>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</si>
  <si>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</si>
  <si>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</si>
  <si>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</si>
  <si>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</si>
  <si>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</si>
  <si>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</si>
  <si>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</si>
  <si>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</si>
  <si>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</si>
  <si>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</si>
  <si>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</si>
  <si>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</si>
  <si>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</si>
  <si>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</si>
  <si>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</si>
  <si>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</si>
  <si>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</si>
  <si>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</si>
  <si>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</si>
  <si>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</si>
  <si>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</si>
  <si>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</si>
  <si>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</si>
  <si>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</si>
  <si>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</si>
  <si>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</si>
  <si>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</si>
  <si>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</si>
  <si>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</si>
  <si>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</si>
  <si>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</si>
  <si>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</si>
  <si>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</si>
  <si>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</si>
  <si>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</si>
  <si>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</si>
  <si>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</si>
  <si>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</si>
  <si>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</si>
  <si>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</si>
  <si>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</si>
  <si>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</si>
  <si>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</si>
  <si>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</si>
  <si>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</si>
  <si>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</si>
  <si>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</si>
  <si>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</si>
  <si>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</si>
  <si>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</si>
  <si>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</si>
  <si>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</si>
  <si>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</si>
  <si>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</si>
  <si>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</si>
  <si>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</si>
  <si>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</si>
  <si>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</si>
  <si>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</si>
  <si>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</si>
  <si>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</si>
  <si>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</si>
  <si>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</si>
  <si>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</si>
  <si>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</si>
  <si>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</si>
  <si>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</si>
  <si>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</si>
  <si>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</si>
  <si>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</si>
  <si>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</si>
  <si>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</si>
  <si>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</si>
  <si>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</si>
  <si>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</si>
  <si>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</si>
  <si>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</si>
  <si>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</si>
  <si>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</si>
  <si>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</si>
  <si>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</si>
  <si>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</si>
  <si>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</si>
  <si>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</si>
  <si>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</si>
  <si>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</si>
  <si>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</si>
  <si>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</si>
  <si>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</si>
  <si>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</si>
  <si>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</si>
  <si>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</si>
  <si>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</si>
  <si>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</si>
  <si>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</si>
  <si>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</si>
  <si>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</si>
  <si>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</si>
  <si>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</si>
  <si>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</si>
  <si>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</si>
  <si>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</si>
  <si>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</si>
  <si>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</si>
  <si>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</si>
  <si>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</si>
  <si>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</si>
  <si>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</si>
  <si>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</si>
  <si>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</si>
  <si>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</si>
  <si>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</si>
  <si>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</si>
  <si>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</si>
  <si>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</si>
  <si>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</si>
  <si>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</si>
  <si>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</si>
  <si>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</si>
  <si>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</si>
  <si>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</si>
  <si>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</si>
  <si>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</si>
  <si>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</si>
  <si>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</si>
  <si>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</si>
  <si>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</si>
  <si>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</si>
  <si>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</si>
  <si>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</si>
  <si>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</si>
  <si>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</si>
  <si>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</si>
  <si>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</si>
  <si>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</si>
  <si>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</si>
  <si>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</si>
  <si>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</si>
  <si>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</si>
  <si>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</si>
  <si>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</si>
  <si>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</si>
  <si>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</si>
  <si>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</si>
  <si>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</si>
  <si>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</si>
  <si>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</si>
  <si>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</si>
  <si>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</si>
  <si>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</si>
  <si>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</si>
  <si>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</si>
  <si>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</si>
  <si>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</si>
  <si>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</si>
  <si>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</si>
  <si>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</si>
  <si>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</si>
  <si>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</si>
  <si>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</si>
  <si>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</si>
  <si>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</si>
  <si>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</si>
  <si>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</si>
  <si>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</si>
  <si>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</si>
  <si>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</si>
  <si>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</si>
  <si>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</si>
  <si>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</si>
  <si>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</si>
  <si>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</si>
  <si>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</si>
  <si>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</si>
  <si>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</si>
  <si>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</si>
  <si>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</si>
  <si>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</si>
  <si>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</si>
  <si>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</si>
  <si>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</si>
  <si>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</si>
  <si>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</si>
  <si>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</si>
  <si>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</si>
  <si>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</si>
  <si>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</si>
  <si>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</si>
  <si>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</si>
  <si>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</si>
  <si>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</si>
  <si>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</si>
  <si>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</si>
  <si>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</si>
  <si>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</si>
  <si>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</si>
  <si>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</si>
  <si>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</si>
  <si>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</si>
  <si>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</si>
  <si>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</si>
  <si>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</si>
  <si>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</si>
  <si>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</si>
  <si>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</si>
  <si>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</si>
  <si>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</si>
  <si>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</si>
  <si>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</si>
  <si>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</si>
  <si>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</si>
  <si>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</si>
  <si>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</si>
  <si>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</si>
  <si>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</si>
  <si>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</si>
  <si>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</si>
  <si>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</si>
  <si>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</si>
  <si>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</si>
  <si>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</si>
  <si>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</si>
  <si>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</si>
  <si>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</si>
  <si>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</si>
  <si>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</si>
  <si>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</si>
  <si>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</si>
  <si>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</si>
  <si>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</si>
  <si>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</si>
  <si>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</si>
  <si>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</si>
  <si>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</si>
  <si>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</si>
  <si>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</si>
  <si>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</si>
  <si>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</si>
  <si>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</si>
  <si>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</si>
  <si>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</si>
  <si>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</si>
  <si>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</si>
  <si>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</si>
  <si>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</si>
  <si>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</si>
  <si>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</si>
  <si>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</si>
  <si>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</si>
  <si>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</si>
  <si>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</si>
  <si>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</si>
  <si>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</si>
  <si>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</si>
  <si>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</si>
  <si>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</si>
  <si>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</si>
  <si>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</si>
  <si>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</si>
  <si>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</si>
  <si>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</si>
  <si>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</si>
  <si>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</si>
  <si>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</si>
  <si>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</si>
  <si>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</si>
  <si>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</si>
  <si>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</si>
  <si>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</si>
  <si>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</si>
  <si>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</si>
  <si>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</si>
  <si>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</si>
  <si>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</si>
  <si>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</si>
  <si>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</si>
  <si>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</si>
  <si>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</si>
  <si>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</si>
  <si>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</si>
  <si>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</si>
  <si>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</si>
  <si>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</si>
  <si>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</si>
  <si>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</si>
  <si>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</si>
  <si>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</si>
  <si>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</si>
  <si>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</si>
  <si>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</si>
  <si>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</si>
  <si>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</si>
  <si>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</si>
  <si>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</si>
  <si>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</si>
  <si>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</si>
  <si>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</si>
  <si>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</si>
  <si>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</si>
  <si>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</si>
  <si>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</si>
  <si>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</si>
  <si>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</si>
  <si>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</si>
  <si>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</si>
  <si>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</si>
  <si>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</si>
  <si>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</si>
  <si>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</si>
  <si>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</si>
  <si>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</si>
  <si>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</si>
  <si>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</si>
  <si>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</si>
  <si>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</si>
  <si>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</si>
  <si>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</si>
  <si>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</si>
  <si>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</si>
  <si>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</si>
  <si>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</si>
  <si>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</si>
  <si>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</si>
  <si>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</si>
  <si>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</si>
  <si>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</si>
  <si>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</si>
  <si>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</si>
  <si>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</si>
  <si>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</si>
  <si>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</si>
  <si>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</si>
  <si>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</si>
  <si>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</si>
  <si>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</si>
  <si>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</si>
  <si>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</si>
  <si>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</si>
  <si>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</si>
  <si>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</si>
  <si>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</si>
  <si>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</si>
  <si>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</si>
  <si>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</si>
  <si>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</si>
  <si>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</si>
  <si>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</si>
  <si>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</si>
  <si>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</si>
  <si>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</si>
  <si>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</si>
  <si>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</si>
  <si>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</si>
  <si>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</si>
  <si>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</si>
  <si>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</si>
  <si>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</si>
  <si>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</si>
  <si>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</si>
  <si>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</si>
  <si>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</si>
  <si>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</si>
  <si>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</si>
  <si>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</si>
  <si>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</si>
  <si>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</si>
  <si>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</si>
  <si>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</si>
  <si>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</si>
  <si>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</si>
  <si>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</si>
  <si>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</si>
  <si>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</si>
  <si>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</si>
  <si>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</si>
  <si>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</si>
  <si>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</si>
  <si>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</si>
  <si>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</si>
  <si>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</si>
  <si>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</si>
  <si>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</si>
  <si>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</si>
  <si>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</si>
  <si>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</si>
  <si>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</si>
  <si>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</si>
  <si>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</si>
  <si>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</si>
  <si>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</si>
  <si>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</si>
  <si>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</si>
  <si>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</si>
  <si>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</si>
  <si>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</si>
  <si>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</si>
  <si>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</si>
  <si>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</si>
  <si>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</si>
  <si>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</si>
  <si>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</si>
  <si>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</si>
  <si>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</si>
  <si>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</si>
  <si>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</si>
  <si>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</si>
  <si>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</si>
  <si>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</si>
  <si>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</si>
  <si>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</si>
  <si>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</si>
  <si>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</si>
  <si>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</si>
  <si>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</si>
  <si>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</si>
  <si>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</si>
  <si>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</si>
  <si>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</si>
  <si>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</si>
  <si>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</si>
  <si>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</si>
  <si>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</si>
  <si>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</si>
  <si>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</si>
  <si>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</si>
  <si>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</si>
  <si>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</si>
  <si>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</si>
  <si>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</si>
  <si>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</si>
  <si>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</si>
  <si>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</si>
  <si>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</si>
  <si>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</si>
  <si>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</si>
  <si>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</si>
  <si>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</si>
  <si>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</si>
  <si>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</si>
  <si>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</si>
  <si>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</si>
  <si>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</si>
  <si>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</si>
  <si>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</si>
  <si>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</si>
  <si>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</si>
  <si>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</si>
  <si>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</si>
  <si>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</si>
  <si>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</si>
  <si>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</si>
  <si>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</si>
  <si>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</si>
  <si>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</si>
  <si>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</si>
  <si>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</si>
  <si>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</si>
  <si>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</si>
  <si>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</si>
  <si>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</si>
  <si>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</si>
  <si>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</si>
  <si>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</si>
  <si>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</si>
  <si>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</si>
  <si>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</si>
  <si>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</si>
  <si>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</si>
  <si>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</si>
  <si>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</si>
  <si>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</si>
  <si>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</si>
  <si>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</si>
  <si>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</si>
  <si>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</si>
  <si>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</si>
  <si>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</si>
  <si>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</si>
  <si>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</si>
  <si>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</si>
  <si>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</si>
  <si>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</si>
  <si>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</si>
  <si>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</si>
  <si>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</si>
  <si>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</si>
  <si>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</si>
  <si>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</si>
  <si>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</si>
  <si>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</si>
  <si>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</si>
  <si>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</si>
  <si>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</si>
  <si>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</si>
  <si>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</si>
  <si>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</si>
  <si>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</si>
  <si>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</si>
  <si>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</si>
  <si>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</si>
  <si>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</si>
  <si>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</si>
  <si>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</si>
  <si>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</si>
  <si>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</si>
  <si>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</si>
  <si>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</si>
  <si>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</si>
  <si>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</si>
  <si>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</si>
  <si>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</si>
  <si>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</si>
  <si>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</si>
  <si>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</si>
  <si>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</si>
  <si>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</si>
  <si>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</si>
  <si>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</si>
  <si>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</si>
  <si>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</si>
  <si>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</si>
  <si>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</si>
  <si>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</si>
  <si>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</si>
  <si>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</si>
  <si>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</si>
  <si>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</si>
  <si>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</si>
  <si>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</si>
  <si>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</si>
  <si>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</si>
  <si>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</si>
  <si>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</si>
  <si>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</si>
  <si>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</si>
  <si>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</si>
  <si>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</si>
  <si>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</si>
  <si>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</si>
  <si>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</si>
  <si>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</si>
  <si>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</si>
  <si>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</si>
  <si>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</si>
  <si>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</si>
  <si>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</si>
  <si>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</si>
  <si>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</si>
  <si>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</si>
  <si>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</si>
  <si>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</si>
  <si>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</si>
  <si>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</si>
  <si>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</si>
  <si>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</si>
  <si>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</si>
  <si>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</si>
  <si>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</si>
  <si>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</si>
  <si>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</si>
  <si>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</si>
  <si>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</si>
  <si>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</si>
  <si>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</si>
  <si>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</si>
  <si>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</si>
  <si>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</si>
  <si>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</si>
  <si>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</si>
  <si>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</si>
  <si>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</si>
  <si>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</si>
  <si>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</si>
  <si>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</si>
  <si>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</si>
  <si>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</si>
  <si>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</si>
  <si>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</si>
  <si>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</si>
  <si>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</si>
  <si>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</si>
  <si>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</si>
  <si>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</si>
  <si>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</si>
  <si>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</si>
  <si>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</si>
  <si>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</si>
  <si>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</si>
  <si>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</si>
  <si>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</si>
  <si>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</si>
  <si>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</si>
  <si>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</si>
  <si>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</si>
  <si>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</si>
  <si>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</si>
  <si>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</si>
  <si>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</si>
  <si>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</si>
  <si>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</si>
  <si>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</si>
  <si>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</si>
  <si>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</si>
  <si>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</si>
  <si>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</si>
  <si>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</si>
  <si>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</si>
  <si>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</si>
  <si>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</si>
  <si>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</si>
  <si>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</si>
  <si>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</si>
  <si>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</si>
  <si>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</si>
  <si>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</si>
  <si>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</si>
  <si>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</si>
  <si>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</si>
  <si>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</si>
  <si>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</si>
  <si>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</si>
  <si>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</si>
  <si>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</si>
  <si>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</si>
  <si>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</si>
  <si>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</si>
  <si>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</si>
  <si>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</si>
  <si>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</si>
  <si>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</si>
  <si>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</si>
  <si>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</si>
  <si>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</si>
  <si>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</si>
  <si>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</si>
  <si>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</si>
  <si>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</si>
  <si>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</si>
  <si>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</si>
  <si>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</si>
  <si>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</si>
  <si>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</si>
  <si>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</si>
  <si>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</si>
  <si>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</si>
  <si>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</si>
  <si>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</si>
  <si>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</si>
  <si>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</si>
  <si>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</si>
  <si>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</si>
  <si>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</si>
  <si>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</si>
  <si>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</si>
  <si>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</si>
  <si>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</si>
  <si>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</si>
  <si>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</si>
  <si>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</si>
  <si>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</si>
  <si>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</si>
  <si>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</si>
  <si>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</si>
  <si>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</si>
  <si>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</si>
  <si>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</si>
  <si>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</si>
  <si>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</si>
  <si>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</si>
  <si>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</si>
  <si>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</si>
  <si>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</si>
  <si>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</si>
  <si>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</si>
  <si>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</si>
  <si>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</si>
  <si>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</si>
  <si>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</si>
  <si>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</si>
  <si>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</si>
  <si>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</si>
  <si>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</si>
  <si>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</si>
  <si>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</si>
  <si>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</si>
  <si>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</si>
  <si>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</si>
  <si>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</si>
  <si>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</si>
  <si>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</si>
  <si>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</si>
  <si>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</si>
  <si>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</si>
  <si>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</si>
  <si>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</si>
  <si>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</si>
  <si>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Count of TX ID</t>
  </si>
  <si>
    <t>Sum of Quantity</t>
  </si>
  <si>
    <t>Sum of Amount</t>
  </si>
  <si>
    <t>Average of Rating C</t>
  </si>
  <si>
    <t>Average of Days to Deliver</t>
  </si>
  <si>
    <t>Qty</t>
  </si>
  <si>
    <t>Avg. Days</t>
  </si>
  <si>
    <t>Row Labels</t>
  </si>
  <si>
    <t>Grand Total</t>
  </si>
  <si>
    <t>Column Labels</t>
  </si>
  <si>
    <t>Female</t>
  </si>
  <si>
    <t>Male</t>
  </si>
  <si>
    <t>Other</t>
  </si>
  <si>
    <t>Unknown</t>
  </si>
  <si>
    <t>6 TO 10</t>
  </si>
  <si>
    <t>More than 10</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</si>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</sst>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5"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b/>
      <sz val="11"/>
      <color rgb="FF00B050"/>
      <name val="Aptos Narrow"/>
      <family val="2"/>
      <scheme val="minor"/>
    </font>
  </fonts>
  <fills count="10">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
      <patternFill patternType="solid">
        <fgColor rgb="FF00B050"/>
        <bgColor indexed="64"/>
      </patternFill>
    </fill>
  </fills>
  <borders count="3">
    <border>
      <left/>
      <right/>
      <top/>
      <bottom/>
      <diagonal/>
    </border>
    <border>
      <left style="thick">
        <color theme="0"/>
      </left>
      <right style="thick">
        <color theme="0"/>
      </right>
      <top style="thick">
        <color theme="0"/>
      </top>
      <bottom style="thick">
        <color theme="0"/>
      </bottom>
      <diagonal/>
    </border>
    <border>
      <left/>
      <right/>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4" fillId="0" borderId="1" xfId="0" applyFont="1" applyBorder="1" applyAlignment="1">
      <alignment horizontal="center" vertical="center"/>
    </xf>
    <xf numFmtId="165" fontId="0" fillId="0" borderId="1" xfId="0" applyNumberFormat="1" applyBorder="1" applyAlignment="1">
      <alignment horizontal="center" vertical="center"/>
    </xf>
    <xf numFmtId="0" fontId="1" fillId="8" borderId="2" xfId="0" applyFont="1" applyFill="1" applyBorder="1"/>
    <xf numFmtId="0" fontId="1" fillId="0" borderId="0" xfId="0" applyFont="1"/>
    <xf numFmtId="0" fontId="0" fillId="9" borderId="0" xfId="0" applyFill="1"/>
  </cellXfs>
  <cellStyles count="2">
    <cellStyle name="Hyperlink" xfId="1" builtinId="8"/>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 Dashboard.xlsx]Pivots!PvtTX</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Pivots!$B$34</c:f>
              <c:strCache>
                <c:ptCount val="1"/>
                <c:pt idx="0">
                  <c:v>Total</c:v>
                </c:pt>
              </c:strCache>
            </c:strRef>
          </c:tx>
          <c:spPr>
            <a:solidFill>
              <a:schemeClr val="accent1"/>
            </a:solidFill>
            <a:ln>
              <a:noFill/>
            </a:ln>
            <a:effectLst/>
          </c:spPr>
          <c:invertIfNegative val="0"/>
          <c:cat>
            <c:strRef>
              <c:f>Pivots!$A$35:$A$42</c:f>
              <c:strCache>
                <c:ptCount val="7"/>
                <c:pt idx="0">
                  <c:v>1</c:v>
                </c:pt>
                <c:pt idx="1">
                  <c:v>2</c:v>
                </c:pt>
                <c:pt idx="2">
                  <c:v>3</c:v>
                </c:pt>
                <c:pt idx="3">
                  <c:v>4</c:v>
                </c:pt>
                <c:pt idx="4">
                  <c:v>5</c:v>
                </c:pt>
                <c:pt idx="5">
                  <c:v>6 TO 10</c:v>
                </c:pt>
                <c:pt idx="6">
                  <c:v>More than 10</c:v>
                </c:pt>
              </c:strCache>
            </c:strRef>
          </c:cat>
          <c:val>
            <c:numRef>
              <c:f>Pivots!$B$35:$B$42</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0C6B-4244-A73B-4C86D1B13F09}"/>
            </c:ext>
          </c:extLst>
        </c:ser>
        <c:dLbls>
          <c:showLegendKey val="0"/>
          <c:showVal val="0"/>
          <c:showCatName val="0"/>
          <c:showSerName val="0"/>
          <c:showPercent val="0"/>
          <c:showBubbleSize val="0"/>
        </c:dLbls>
        <c:gapWidth val="219"/>
        <c:overlap val="-27"/>
        <c:axId val="1460650367"/>
        <c:axId val="1460671967"/>
      </c:barChart>
      <c:catAx>
        <c:axId val="146065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671967"/>
        <c:crosses val="autoZero"/>
        <c:auto val="1"/>
        <c:lblAlgn val="ctr"/>
        <c:lblOffset val="100"/>
        <c:noMultiLvlLbl val="0"/>
      </c:catAx>
      <c:valAx>
        <c:axId val="146067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65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 Dashboard.xlsx]Pivots!PvtQnA</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Trend in the last 13 weeks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Pivots!$B$7</c:f>
              <c:strCache>
                <c:ptCount val="1"/>
                <c:pt idx="0">
                  <c:v>Sum of Quantity</c:v>
                </c:pt>
              </c:strCache>
            </c:strRef>
          </c:tx>
          <c:spPr>
            <a:ln w="28575" cap="rnd">
              <a:solidFill>
                <a:schemeClr val="accent6"/>
              </a:solidFill>
              <a:round/>
            </a:ln>
            <a:effectLst/>
          </c:spPr>
          <c:marker>
            <c:symbol val="circle"/>
            <c:size val="6"/>
            <c:spPr>
              <a:solidFill>
                <a:schemeClr val="accent6"/>
              </a:solidFill>
              <a:ln>
                <a:noFill/>
              </a:ln>
              <a:effectLst/>
            </c:spPr>
          </c:marker>
          <c:cat>
            <c:strRef>
              <c:f>Pivots!$A$8:$A$21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Pivots!$B$8:$B$21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FFD3-4FB4-B630-E8A6074628EB}"/>
            </c:ext>
          </c:extLst>
        </c:ser>
        <c:dLbls>
          <c:showLegendKey val="0"/>
          <c:showVal val="0"/>
          <c:showCatName val="0"/>
          <c:showSerName val="0"/>
          <c:showPercent val="0"/>
          <c:showBubbleSize val="0"/>
        </c:dLbls>
        <c:marker val="1"/>
        <c:smooth val="0"/>
        <c:axId val="1453986655"/>
        <c:axId val="1453969855"/>
      </c:lineChart>
      <c:lineChart>
        <c:grouping val="standard"/>
        <c:varyColors val="0"/>
        <c:ser>
          <c:idx val="1"/>
          <c:order val="1"/>
          <c:tx>
            <c:strRef>
              <c:f>Pivots!$C$7</c:f>
              <c:strCache>
                <c:ptCount val="1"/>
                <c:pt idx="0">
                  <c:v>Sum of Amount</c:v>
                </c:pt>
              </c:strCache>
            </c:strRef>
          </c:tx>
          <c:spPr>
            <a:ln w="28575" cap="rnd">
              <a:solidFill>
                <a:schemeClr val="accent5"/>
              </a:solidFill>
              <a:round/>
            </a:ln>
            <a:effectLst/>
          </c:spPr>
          <c:marker>
            <c:symbol val="circle"/>
            <c:size val="6"/>
            <c:spPr>
              <a:solidFill>
                <a:schemeClr val="accent5"/>
              </a:solidFill>
              <a:ln>
                <a:noFill/>
              </a:ln>
              <a:effectLst/>
            </c:spPr>
          </c:marker>
          <c:cat>
            <c:strRef>
              <c:f>Pivots!$A$8:$A$21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Pivots!$C$8:$C$21</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FFD3-4FB4-B630-E8A6074628EB}"/>
            </c:ext>
          </c:extLst>
        </c:ser>
        <c:dLbls>
          <c:showLegendKey val="0"/>
          <c:showVal val="0"/>
          <c:showCatName val="0"/>
          <c:showSerName val="0"/>
          <c:showPercent val="0"/>
          <c:showBubbleSize val="0"/>
        </c:dLbls>
        <c:marker val="1"/>
        <c:smooth val="0"/>
        <c:axId val="1453992415"/>
        <c:axId val="1453981375"/>
      </c:lineChart>
      <c:catAx>
        <c:axId val="145398665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69855"/>
        <c:crosses val="autoZero"/>
        <c:auto val="1"/>
        <c:lblAlgn val="ctr"/>
        <c:lblOffset val="100"/>
        <c:noMultiLvlLbl val="0"/>
      </c:catAx>
      <c:valAx>
        <c:axId val="1453969855"/>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86655"/>
        <c:crosses val="autoZero"/>
        <c:crossBetween val="between"/>
      </c:valAx>
      <c:valAx>
        <c:axId val="1453981375"/>
        <c:scaling>
          <c:orientation val="minMax"/>
        </c:scaling>
        <c:delete val="0"/>
        <c:axPos val="r"/>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92415"/>
        <c:crosses val="max"/>
        <c:crossBetween val="between"/>
      </c:valAx>
      <c:catAx>
        <c:axId val="1453992415"/>
        <c:scaling>
          <c:orientation val="minMax"/>
        </c:scaling>
        <c:delete val="1"/>
        <c:axPos val="b"/>
        <c:numFmt formatCode="General" sourceLinked="1"/>
        <c:majorTickMark val="none"/>
        <c:minorTickMark val="none"/>
        <c:tickLblPos val="nextTo"/>
        <c:crossAx val="14539813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 Dashboard.xlsx]Pivots!PvtTX</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How many they buy? </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Pivots!$B$34</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Pivots!$A$35:$A$42</c:f>
              <c:strCache>
                <c:ptCount val="7"/>
                <c:pt idx="0">
                  <c:v>1</c:v>
                </c:pt>
                <c:pt idx="1">
                  <c:v>2</c:v>
                </c:pt>
                <c:pt idx="2">
                  <c:v>3</c:v>
                </c:pt>
                <c:pt idx="3">
                  <c:v>4</c:v>
                </c:pt>
                <c:pt idx="4">
                  <c:v>5</c:v>
                </c:pt>
                <c:pt idx="5">
                  <c:v>6 TO 10</c:v>
                </c:pt>
                <c:pt idx="6">
                  <c:v>More than 10</c:v>
                </c:pt>
              </c:strCache>
            </c:strRef>
          </c:cat>
          <c:val>
            <c:numRef>
              <c:f>Pivots!$B$35:$B$42</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D3F1-4A58-9A23-A65A58ABF15A}"/>
            </c:ext>
          </c:extLst>
        </c:ser>
        <c:dLbls>
          <c:dLblPos val="outEnd"/>
          <c:showLegendKey val="0"/>
          <c:showVal val="1"/>
          <c:showCatName val="0"/>
          <c:showSerName val="0"/>
          <c:showPercent val="0"/>
          <c:showBubbleSize val="0"/>
        </c:dLbls>
        <c:gapWidth val="444"/>
        <c:overlap val="-90"/>
        <c:axId val="1460650367"/>
        <c:axId val="1460671967"/>
      </c:barChart>
      <c:catAx>
        <c:axId val="146065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60671967"/>
        <c:crosses val="autoZero"/>
        <c:auto val="1"/>
        <c:lblAlgn val="ctr"/>
        <c:lblOffset val="100"/>
        <c:noMultiLvlLbl val="0"/>
      </c:catAx>
      <c:valAx>
        <c:axId val="1460671967"/>
        <c:scaling>
          <c:orientation val="minMax"/>
        </c:scaling>
        <c:delete val="1"/>
        <c:axPos val="l"/>
        <c:numFmt formatCode="General" sourceLinked="1"/>
        <c:majorTickMark val="none"/>
        <c:minorTickMark val="none"/>
        <c:tickLblPos val="nextTo"/>
        <c:crossAx val="146065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 Dashboard.xlsx]Pivots!PvtItems</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Which products are popular? </a:t>
            </a:r>
          </a:p>
        </c:rich>
      </c:tx>
      <c:layout>
        <c:manualLayout>
          <c:xMode val="edge"/>
          <c:yMode val="edge"/>
          <c:x val="0.18419427283647263"/>
          <c:y val="0.88763117271374714"/>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dLbl>
          <c:idx val="0"/>
          <c:showLegendKey val="1"/>
          <c:showVal val="1"/>
          <c:showCatName val="1"/>
          <c:showSerName val="1"/>
          <c:showPercent val="1"/>
          <c:showBubbleSize val="1"/>
          <c:extLst>
            <c:ext xmlns:c15="http://schemas.microsoft.com/office/drawing/2012/chart" uri="{CE6537A1-D6FC-4f65-9D91-7224C49458BB}"/>
          </c:extLst>
        </c:dLbl>
      </c:pivotFmt>
      <c:pivotFmt>
        <c:idx val="7"/>
        <c:dLbl>
          <c:idx val="0"/>
          <c:showLegendKey val="1"/>
          <c:showVal val="1"/>
          <c:showCatName val="1"/>
          <c:showSerName val="1"/>
          <c:showPercent val="1"/>
          <c:showBubbleSize val="1"/>
          <c:extLst>
            <c:ext xmlns:c15="http://schemas.microsoft.com/office/drawing/2012/chart" uri="{CE6537A1-D6FC-4f65-9D91-7224C49458BB}"/>
          </c:extLst>
        </c:dLbl>
      </c:pivotFmt>
      <c:pivotFmt>
        <c:idx val="8"/>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773231151603178E-2"/>
          <c:y val="6.9636079911045506E-2"/>
          <c:w val="0.71613696020238227"/>
          <c:h val="0.87572815422601191"/>
        </c:manualLayout>
      </c:layout>
      <c:barChart>
        <c:barDir val="bar"/>
        <c:grouping val="stacked"/>
        <c:varyColors val="0"/>
        <c:ser>
          <c:idx val="0"/>
          <c:order val="0"/>
          <c:tx>
            <c:strRef>
              <c:f>Pivots!$E$34:$E$35</c:f>
              <c:strCache>
                <c:ptCount val="1"/>
                <c:pt idx="0">
                  <c:v>Female</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Pivots!$D$36:$D$56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Pivots!$E$36:$E$56</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F490-4F6F-84A5-96F9D43E641B}"/>
            </c:ext>
          </c:extLst>
        </c:ser>
        <c:ser>
          <c:idx val="1"/>
          <c:order val="1"/>
          <c:tx>
            <c:strRef>
              <c:f>Pivots!$F$34:$F$35</c:f>
              <c:strCache>
                <c:ptCount val="1"/>
                <c:pt idx="0">
                  <c:v>Male</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Pivots!$D$36:$D$56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Pivots!$F$36:$F$56</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7-F271-490A-931A-6CE383836C9F}"/>
            </c:ext>
          </c:extLst>
        </c:ser>
        <c:ser>
          <c:idx val="2"/>
          <c:order val="2"/>
          <c:tx>
            <c:strRef>
              <c:f>Pivots!$G$34:$G$35</c:f>
              <c:strCache>
                <c:ptCount val="1"/>
                <c:pt idx="0">
                  <c:v>Other</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Pivots!$D$36:$D$56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Pivots!$G$36:$G$56</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8-F271-490A-931A-6CE383836C9F}"/>
            </c:ext>
          </c:extLst>
        </c:ser>
        <c:ser>
          <c:idx val="3"/>
          <c:order val="3"/>
          <c:tx>
            <c:strRef>
              <c:f>Pivots!$H$34:$H$35</c:f>
              <c:strCache>
                <c:ptCount val="1"/>
                <c:pt idx="0">
                  <c:v>Unknown</c:v>
                </c:pt>
              </c:strCache>
            </c:strRef>
          </c:tx>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invertIfNegative val="0"/>
          <c:cat>
            <c:strRef>
              <c:f>Pivots!$D$36:$D$56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Pivots!$H$36:$H$56</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9-F271-490A-931A-6CE383836C9F}"/>
            </c:ext>
          </c:extLst>
        </c:ser>
        <c:dLbls>
          <c:showLegendKey val="0"/>
          <c:showVal val="0"/>
          <c:showCatName val="0"/>
          <c:showSerName val="0"/>
          <c:showPercent val="0"/>
          <c:showBubbleSize val="0"/>
        </c:dLbls>
        <c:gapWidth val="150"/>
        <c:overlap val="100"/>
        <c:axId val="669992063"/>
        <c:axId val="669984383"/>
      </c:barChart>
      <c:catAx>
        <c:axId val="669992063"/>
        <c:scaling>
          <c:orientation val="maxMin"/>
        </c:scaling>
        <c:delete val="0"/>
        <c:axPos val="l"/>
        <c:numFmt formatCode="General" sourceLinked="1"/>
        <c:majorTickMark val="none"/>
        <c:minorTickMark val="none"/>
        <c:tickLblPos val="high"/>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984383"/>
        <c:crosses val="autoZero"/>
        <c:auto val="1"/>
        <c:lblAlgn val="ctr"/>
        <c:lblOffset val="100"/>
        <c:noMultiLvlLbl val="0"/>
      </c:catAx>
      <c:valAx>
        <c:axId val="669984383"/>
        <c:scaling>
          <c:orientation val="minMax"/>
        </c:scaling>
        <c:delete val="0"/>
        <c:axPos val="t"/>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99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 Dashboard.xlsx]Pivots!PvtD2D</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How long we take to ship the orders? </a:t>
            </a:r>
            <a:endParaRPr lang="en-US"/>
          </a:p>
        </c:rich>
      </c:tx>
      <c:layout>
        <c:manualLayout>
          <c:xMode val="edge"/>
          <c:yMode val="edge"/>
          <c:x val="0.22334068773330482"/>
          <c:y val="9.1283746732663262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Pivots!$B$131</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Pivots!$A$132:$A$147</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Pivots!$B$132:$B$147</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7CA6-4F3E-8ADC-D200DBE93C86}"/>
            </c:ext>
          </c:extLst>
        </c:ser>
        <c:dLbls>
          <c:dLblPos val="outEnd"/>
          <c:showLegendKey val="0"/>
          <c:showVal val="1"/>
          <c:showCatName val="0"/>
          <c:showSerName val="0"/>
          <c:showPercent val="0"/>
          <c:showBubbleSize val="0"/>
        </c:dLbls>
        <c:gapWidth val="444"/>
        <c:overlap val="-90"/>
        <c:axId val="1227580623"/>
        <c:axId val="1227596943"/>
      </c:barChart>
      <c:catAx>
        <c:axId val="1227580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27596943"/>
        <c:crosses val="autoZero"/>
        <c:auto val="1"/>
        <c:lblAlgn val="ctr"/>
        <c:lblOffset val="100"/>
        <c:noMultiLvlLbl val="0"/>
      </c:catAx>
      <c:valAx>
        <c:axId val="1227596943"/>
        <c:scaling>
          <c:orientation val="minMax"/>
        </c:scaling>
        <c:delete val="1"/>
        <c:axPos val="l"/>
        <c:numFmt formatCode="General" sourceLinked="1"/>
        <c:majorTickMark val="none"/>
        <c:minorTickMark val="none"/>
        <c:tickLblPos val="nextTo"/>
        <c:crossAx val="122758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 Dashboard.xlsx]Pivots!PvtMonths</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How happy are our customers?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Pivots!$B$123:$B$124</c:f>
              <c:strCache>
                <c:ptCount val="1"/>
                <c:pt idx="0">
                  <c:v>1</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Pivots!$A$125:$A$128</c:f>
              <c:strCache>
                <c:ptCount val="3"/>
                <c:pt idx="0">
                  <c:v>Jan</c:v>
                </c:pt>
                <c:pt idx="1">
                  <c:v>Feb</c:v>
                </c:pt>
                <c:pt idx="2">
                  <c:v>Mar</c:v>
                </c:pt>
              </c:strCache>
            </c:strRef>
          </c:cat>
          <c:val>
            <c:numRef>
              <c:f>Pivots!$B$125:$B$128</c:f>
              <c:numCache>
                <c:formatCode>General</c:formatCode>
                <c:ptCount val="3"/>
                <c:pt idx="0">
                  <c:v>7</c:v>
                </c:pt>
                <c:pt idx="1">
                  <c:v>8</c:v>
                </c:pt>
                <c:pt idx="2">
                  <c:v>6</c:v>
                </c:pt>
              </c:numCache>
            </c:numRef>
          </c:val>
          <c:extLst>
            <c:ext xmlns:c16="http://schemas.microsoft.com/office/drawing/2014/chart" uri="{C3380CC4-5D6E-409C-BE32-E72D297353CC}">
              <c16:uniqueId val="{00000000-F952-40DF-926D-7DA168861E4E}"/>
            </c:ext>
          </c:extLst>
        </c:ser>
        <c:ser>
          <c:idx val="1"/>
          <c:order val="1"/>
          <c:tx>
            <c:strRef>
              <c:f>Pivots!$C$123:$C$124</c:f>
              <c:strCache>
                <c:ptCount val="1"/>
                <c:pt idx="0">
                  <c:v>2</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Pivots!$A$125:$A$128</c:f>
              <c:strCache>
                <c:ptCount val="3"/>
                <c:pt idx="0">
                  <c:v>Jan</c:v>
                </c:pt>
                <c:pt idx="1">
                  <c:v>Feb</c:v>
                </c:pt>
                <c:pt idx="2">
                  <c:v>Mar</c:v>
                </c:pt>
              </c:strCache>
            </c:strRef>
          </c:cat>
          <c:val>
            <c:numRef>
              <c:f>Pivots!$C$125:$C$128</c:f>
              <c:numCache>
                <c:formatCode>General</c:formatCode>
                <c:ptCount val="3"/>
                <c:pt idx="0">
                  <c:v>37</c:v>
                </c:pt>
                <c:pt idx="1">
                  <c:v>51</c:v>
                </c:pt>
                <c:pt idx="2">
                  <c:v>39</c:v>
                </c:pt>
              </c:numCache>
            </c:numRef>
          </c:val>
          <c:extLst>
            <c:ext xmlns:c16="http://schemas.microsoft.com/office/drawing/2014/chart" uri="{C3380CC4-5D6E-409C-BE32-E72D297353CC}">
              <c16:uniqueId val="{00000001-F952-40DF-926D-7DA168861E4E}"/>
            </c:ext>
          </c:extLst>
        </c:ser>
        <c:ser>
          <c:idx val="2"/>
          <c:order val="2"/>
          <c:tx>
            <c:strRef>
              <c:f>Pivots!$D$123:$D$124</c:f>
              <c:strCache>
                <c:ptCount val="1"/>
                <c:pt idx="0">
                  <c:v>3</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Pivots!$A$125:$A$128</c:f>
              <c:strCache>
                <c:ptCount val="3"/>
                <c:pt idx="0">
                  <c:v>Jan</c:v>
                </c:pt>
                <c:pt idx="1">
                  <c:v>Feb</c:v>
                </c:pt>
                <c:pt idx="2">
                  <c:v>Mar</c:v>
                </c:pt>
              </c:strCache>
            </c:strRef>
          </c:cat>
          <c:val>
            <c:numRef>
              <c:f>Pivots!$D$125:$D$128</c:f>
              <c:numCache>
                <c:formatCode>General</c:formatCode>
                <c:ptCount val="3"/>
                <c:pt idx="0">
                  <c:v>150</c:v>
                </c:pt>
                <c:pt idx="1">
                  <c:v>182</c:v>
                </c:pt>
                <c:pt idx="2">
                  <c:v>163</c:v>
                </c:pt>
              </c:numCache>
            </c:numRef>
          </c:val>
          <c:extLst>
            <c:ext xmlns:c16="http://schemas.microsoft.com/office/drawing/2014/chart" uri="{C3380CC4-5D6E-409C-BE32-E72D297353CC}">
              <c16:uniqueId val="{00000002-F952-40DF-926D-7DA168861E4E}"/>
            </c:ext>
          </c:extLst>
        </c:ser>
        <c:ser>
          <c:idx val="3"/>
          <c:order val="3"/>
          <c:tx>
            <c:strRef>
              <c:f>Pivots!$E$123:$E$124</c:f>
              <c:strCache>
                <c:ptCount val="1"/>
                <c:pt idx="0">
                  <c:v>4</c:v>
                </c:pt>
              </c:strCache>
            </c:strRef>
          </c:tx>
          <c:spPr>
            <a:solidFill>
              <a:schemeClr val="accent6">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Pivots!$A$125:$A$128</c:f>
              <c:strCache>
                <c:ptCount val="3"/>
                <c:pt idx="0">
                  <c:v>Jan</c:v>
                </c:pt>
                <c:pt idx="1">
                  <c:v>Feb</c:v>
                </c:pt>
                <c:pt idx="2">
                  <c:v>Mar</c:v>
                </c:pt>
              </c:strCache>
            </c:strRef>
          </c:cat>
          <c:val>
            <c:numRef>
              <c:f>Pivots!$E$125:$E$128</c:f>
              <c:numCache>
                <c:formatCode>General</c:formatCode>
                <c:ptCount val="3"/>
                <c:pt idx="0">
                  <c:v>312</c:v>
                </c:pt>
                <c:pt idx="1">
                  <c:v>373</c:v>
                </c:pt>
                <c:pt idx="2">
                  <c:v>351</c:v>
                </c:pt>
              </c:numCache>
            </c:numRef>
          </c:val>
          <c:extLst>
            <c:ext xmlns:c16="http://schemas.microsoft.com/office/drawing/2014/chart" uri="{C3380CC4-5D6E-409C-BE32-E72D297353CC}">
              <c16:uniqueId val="{00000003-F952-40DF-926D-7DA168861E4E}"/>
            </c:ext>
          </c:extLst>
        </c:ser>
        <c:ser>
          <c:idx val="4"/>
          <c:order val="4"/>
          <c:tx>
            <c:strRef>
              <c:f>Pivots!$F$123:$F$124</c:f>
              <c:strCache>
                <c:ptCount val="1"/>
                <c:pt idx="0">
                  <c:v>5</c:v>
                </c:pt>
              </c:strCache>
            </c:strRef>
          </c:tx>
          <c:spPr>
            <a:solidFill>
              <a:schemeClr val="accent5">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Pivots!$A$125:$A$128</c:f>
              <c:strCache>
                <c:ptCount val="3"/>
                <c:pt idx="0">
                  <c:v>Jan</c:v>
                </c:pt>
                <c:pt idx="1">
                  <c:v>Feb</c:v>
                </c:pt>
                <c:pt idx="2">
                  <c:v>Mar</c:v>
                </c:pt>
              </c:strCache>
            </c:strRef>
          </c:cat>
          <c:val>
            <c:numRef>
              <c:f>Pivots!$F$125:$F$128</c:f>
              <c:numCache>
                <c:formatCode>General</c:formatCode>
                <c:ptCount val="3"/>
                <c:pt idx="0">
                  <c:v>224</c:v>
                </c:pt>
                <c:pt idx="1">
                  <c:v>247</c:v>
                </c:pt>
                <c:pt idx="2">
                  <c:v>250</c:v>
                </c:pt>
              </c:numCache>
            </c:numRef>
          </c:val>
          <c:extLst>
            <c:ext xmlns:c16="http://schemas.microsoft.com/office/drawing/2014/chart" uri="{C3380CC4-5D6E-409C-BE32-E72D297353CC}">
              <c16:uniqueId val="{00000004-F952-40DF-926D-7DA168861E4E}"/>
            </c:ext>
          </c:extLst>
        </c:ser>
        <c:dLbls>
          <c:dLblPos val="outEnd"/>
          <c:showLegendKey val="0"/>
          <c:showVal val="1"/>
          <c:showCatName val="0"/>
          <c:showSerName val="0"/>
          <c:showPercent val="0"/>
          <c:showBubbleSize val="0"/>
        </c:dLbls>
        <c:gapWidth val="444"/>
        <c:overlap val="-90"/>
        <c:axId val="1536922447"/>
        <c:axId val="1536912367"/>
      </c:barChart>
      <c:catAx>
        <c:axId val="1536922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36912367"/>
        <c:crosses val="autoZero"/>
        <c:auto val="1"/>
        <c:lblAlgn val="ctr"/>
        <c:lblOffset val="100"/>
        <c:noMultiLvlLbl val="0"/>
      </c:catAx>
      <c:valAx>
        <c:axId val="1536912367"/>
        <c:scaling>
          <c:orientation val="minMax"/>
        </c:scaling>
        <c:delete val="1"/>
        <c:axPos val="l"/>
        <c:numFmt formatCode="General" sourceLinked="1"/>
        <c:majorTickMark val="none"/>
        <c:minorTickMark val="none"/>
        <c:tickLblPos val="nextTo"/>
        <c:crossAx val="153692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 Dashboard.xlsx]Pivots!PvtGender</c:name>
    <c:fmtId val="49"/>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doughnutChart>
        <c:varyColors val="1"/>
        <c:ser>
          <c:idx val="0"/>
          <c:order val="0"/>
          <c:tx>
            <c:strRef>
              <c:f>Pivots!$B$45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F7F1-41EE-AA2E-EDF8BEA13F7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7F1-41EE-AA2E-EDF8BEA13F7A}"/>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F7F1-41EE-AA2E-EDF8BEA13F7A}"/>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F7F1-41EE-AA2E-EDF8BEA13F7A}"/>
              </c:ext>
            </c:extLst>
          </c:dPt>
          <c:cat>
            <c:strRef>
              <c:f>Pivots!$A$46:$A$50</c:f>
              <c:strCache>
                <c:ptCount val="4"/>
                <c:pt idx="0">
                  <c:v>Female</c:v>
                </c:pt>
                <c:pt idx="1">
                  <c:v>Male</c:v>
                </c:pt>
                <c:pt idx="2">
                  <c:v>Other</c:v>
                </c:pt>
                <c:pt idx="3">
                  <c:v>Unknown</c:v>
                </c:pt>
              </c:strCache>
            </c:strRef>
          </c:cat>
          <c:val>
            <c:numRef>
              <c:f>Pivots!$B$46:$B$50</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F7F1-41EE-AA2E-EDF8BEA13F7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a:t>
            </a:r>
            <a:r>
              <a:rPr lang="en-IN" sz="1600" b="1" i="0" u="none" strike="noStrike" kern="1200" cap="all" spc="120" normalizeH="0" baseline="0" dirty="0">
                <a:solidFill>
                  <a:sysClr val="windowText" lastClr="000000">
                    <a:lumMod val="65000"/>
                    <a:lumOff val="35000"/>
                  </a:sysClr>
                </a:solidFill>
                <a:latin typeface="+mn-lt"/>
                <a:ea typeface="+mn-ea"/>
                <a:cs typeface="+mn-cs"/>
              </a:rPr>
              <a:t>Where</a:t>
            </a:r>
            <a:r>
              <a:rPr lang="en-IN" sz="1600" b="1" i="0" u="none" strike="noStrike" baseline="0" dirty="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 </a:t>
            </a:r>
            <a:r>
              <a:rPr lang="en-IN" sz="1600" b="1" i="0" u="none" strike="noStrike" kern="1200" cap="all" spc="120" normalizeH="0" baseline="0" dirty="0">
                <a:solidFill>
                  <a:sysClr val="windowText" lastClr="000000">
                    <a:lumMod val="65000"/>
                    <a:lumOff val="35000"/>
                  </a:sysClr>
                </a:solidFill>
                <a:latin typeface="+mn-lt"/>
                <a:ea typeface="+mn-ea"/>
                <a:cs typeface="+mn-cs"/>
              </a:rPr>
              <a:t>do</a:t>
            </a:r>
            <a:r>
              <a:rPr lang="en-IN" sz="1600" b="1" i="0" u="none" strike="noStrike" baseline="0" dirty="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 </a:t>
            </a:r>
            <a:r>
              <a:rPr lang="en-IN" sz="1600" b="1" i="0" u="none" strike="noStrike" kern="1200" cap="all" spc="120" normalizeH="0" baseline="0" dirty="0">
                <a:solidFill>
                  <a:sysClr val="windowText" lastClr="000000">
                    <a:lumMod val="65000"/>
                    <a:lumOff val="35000"/>
                  </a:sysClr>
                </a:solidFill>
                <a:latin typeface="+mn-lt"/>
                <a:ea typeface="+mn-ea"/>
                <a:cs typeface="+mn-cs"/>
              </a:rPr>
              <a:t>our</a:t>
            </a:r>
            <a:r>
              <a:rPr lang="en-IN" sz="1600" b="1" i="0" u="none" strike="noStrike" baseline="0" dirty="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 </a:t>
            </a:r>
            <a:r>
              <a:rPr lang="en-IN" sz="1600" b="1" i="0" u="none" strike="noStrike" kern="1200" cap="all" spc="120" normalizeH="0" baseline="0" dirty="0">
                <a:solidFill>
                  <a:sysClr val="windowText" lastClr="000000">
                    <a:lumMod val="65000"/>
                    <a:lumOff val="35000"/>
                  </a:sysClr>
                </a:solidFill>
                <a:latin typeface="+mn-lt"/>
                <a:ea typeface="+mn-ea"/>
                <a:cs typeface="+mn-cs"/>
              </a:rPr>
              <a:t>customers</a:t>
            </a:r>
            <a:r>
              <a:rPr lang="en-IN" sz="1600" b="1" i="0" u="none" strike="noStrike" baseline="0" dirty="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 </a:t>
            </a:r>
            <a:r>
              <a:rPr lang="en-IN" sz="1600" b="1" i="0" u="none" strike="noStrike" kern="1200" cap="all" spc="120" normalizeH="0" baseline="0" dirty="0">
                <a:solidFill>
                  <a:sysClr val="windowText" lastClr="000000">
                    <a:lumMod val="65000"/>
                    <a:lumOff val="35000"/>
                  </a:sysClr>
                </a:solidFill>
                <a:latin typeface="+mn-lt"/>
                <a:ea typeface="+mn-ea"/>
                <a:cs typeface="+mn-cs"/>
              </a:rPr>
              <a:t>live</a:t>
            </a:r>
            <a:r>
              <a:rPr lang="en-IN" sz="1600" b="1" i="0" u="none" strike="noStrike" baseline="0" dirty="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a:t>
            </a:r>
            <a:endParaRPr lang="en-US" sz="1600" b="1" i="0" u="none" strike="noStrike" baseline="0" dirty="0">
              <a:solidFill>
                <a:sysClr val="windowText" lastClr="000000">
                  <a:lumMod val="65000"/>
                  <a:lumOff val="35000"/>
                </a:sysClr>
              </a:solidFill>
              <a:latin typeface="Aptos Narrow" panose="02110004020202020204"/>
            </a:endParaRPr>
          </a:p>
        </cx:rich>
      </cx:tx>
    </cx:title>
    <cx:plotArea>
      <cx:plotAreaRegion>
        <cx:series layoutId="regionMap" uniqueId="{6989F335-5CB4-4358-91E8-6D7C3291B2E8}">
          <cx:spPr>
            <a:ln w="9525">
              <a:solidFill>
                <a:srgbClr val="FFC000"/>
              </a:solidFill>
            </a:ln>
          </cx:spPr>
          <cx:dataId val="0"/>
          <cx:layoutPr>
            <cx:geography cultureLanguage="en-US" cultureRegion="IN" attribution="Powered by Bing">
              <cx:geoCache provider="{E9337A44-BEBE-4D9F-B70C-5C5E7DAFC167}">
                <cx:binary>5H1pc+M4su1fqajPj24sBAFMTE9Ek5Rkea9y7V8YKltFgjsJ7r/+Jm1XjUXJNfKNVtwYPbk7um0p
oSQPgTy5IPHPu+4fd/F6Vb7pkjjV/7jr/nwbVFX+jz/+0HfBOlnpk0TdlZnOflQnd1nyR/bjh7pb
/3FfrlqV+n8QhM0/7oJVWa27t//6J4zmr7OL7G5VqSx9V6/L/v1a13Glf/PezrferO4TlbpKV6W6
q/Cfb51VrH5kZapWbzffI3++/SteJev71Rsnq9Oqf/tmnVaq6j/0+frPtxvjkLdv/ph+3ZZqb2LQ
vqrvQZjyE4FMQYRF5cOLv30TZ6n/9LaBCTkhnJjcgpEfv/UKVHmVRg/6rO7vy7XWcGUP/90eYOMy
4G789Z/vwt14N0YAfMDiz7cfU1Wt79/cVqtqrd++UTp7uF1l72TjpX68fbg3f2xC+K9/Tv4Ad2vy
l2coT2/tf3prE8j/APKHUsEV9H8/yCY64ZRwxpn1IsjSRAxTC2+i/AqVdqM8HWAPlKciR4byrdKR
6rP6ADBjgBkzQX7OZbk9ly3KLIYsugnza3TajfPWCHsAvSVzZEj/FecqXf/9OFNxYknAETPzcTqL
Cc5YnnB4McbNTZz312g3yhP5PTCeSBwZwrdqXZaHsMryhFmIglk20cML5uumVUYn8CYSlmAP70+W
7f312o3zRH4PnCcSR4bzMu2zA8xjC7gXYQTxp3k8Xa+xOMFSWpYQMMOfk6999dmN7ob0HthufP7I
kAXSvWrW5UofAN4RPYtgwvnjJAYGPZ3ElkCSUNPahPdVSu3GeHuIPYDeFjoytC/X6X12p9JDTGZ5
gsdpzDl+RBuW5E206QnMdItSCS7W88n8KqV2o709xB5obwsdGdp/Jav7rDzIxKbgECOwzlOMwdHi
hEiK5C6zvL9Cu2GeyO+B8UTiyAC+zdIsOQT9EicmlZbk5Gnl3qJf5IRjZpnm+AQ8n8v7a7Qb4Yn8
HghPJI4MYSeDAM+IsK4OgzPCQkpK+W5HCoJfmJqCcTwhYK/VazfaO0fZA/OdckeG/Ic6XpWHcJ6t
E0oRJuhpiUZTOw3OM5HAuDGbBEn212g32hP5PXCeSBwZwlfrZnWQkDYAaBEuKHr0jdHW6o1PEJYm
RE8mvHt/jXYjPJHfA+GJxJEhfLkqVZ7pQ6zc/ARsL4S0BUzk8bVjFkvL5AIs+OPSvmmnX6PZbqy3
RtgD7S2ZI8PbrqvqEEs2RMMweMnopXgnwSeMmRbGZBIH21uh3Rhviu8B8KbAkaH7XkGgRKv7QyBM
T6RAjFLrcTZvT2d+QiGMQjCHGNlzwv0qpXajvD3EHkhvCx0Z2ler/BDrtgByBelkmKmPSG/ZZkg3
izEXKSb55n312Y3xhvQe8G58/siQvQSv+SBBEQIJJ8hIPNrbMcq1Ef8aeTURQoJB3pzC++qzG9kN
6T2Q3fj8kSHrZHF9ELYF0I1xasg4Ps7arUg2OUFIUAtI9Sa2+2u0G92J/B74TiSODOHbLF4dbPZi
U3BOHxGe8mmIhCBTQrZxmqvYX6PdCE/k90B4InFkCF+Xq9Q/DMXiEhAW1ktFA1AJxiBwbY3k6znF
2l+j3QhP5PdAeCJxZAi76/jNVQb1hH+/ETahAoiZkIIYo5rja2qEiQkruUmhmm9Cr16l1G6ct4fY
A+ptoSNDexa/cbMSElF/P9pQB8SJtBh5Kt2U0/oBAukoOU56KCYZX5OJ/SrVdmO+PcQemG8LHRnm
c6h0PYiVtsYCP4sxDGUhD69tjs0Fgx884WH7a7Qb54n8HiBPJI4M4UW8TtMDzGiIdBGow5UEItMb
3tOYiZICc8omC/femuwGdlN8D1w3BY4M1jFAewhY+YnkJpRfo6eVelqwCegyioXF5STPuLdCu9Hd
FN8D3U2BI0P3tE6+Z/F99ffP27HAXljYNLfnrXmCLUwRVGv+XLGfc+vXqLQb4q0R9kB5S+bIgF4m
+bpUq/jvB5pC4Yckgpn0hfglZlC5y8BCQ33QDsr1Gs124701wh54b8kcGd6w4ydVOl7Vh6ji5CeW
icDuWk+Rka3YF2STETGhhmSydr9Oq91o7xhjD7x3SB0b4qt0LAgq6+EAc9warTU2EX7aLbXDWkPt
n4AKkkn9wO2rtHoB8e0x9kF8W+r4EH9zlq2K+lAEDeiZScyncoKttBSGvBUxIXS2e7/FKn2Nci8i
vzXIftBviR0Z9ufr8hCsnEFO+aGq4CnrPI15Q8ZqLA/EsHVyMyK6rz67cd6Q3gPgjc8fGbKwYr65
qJV+c/1d6fwQMTIG+WRiQbkXrNdPhGzTsUYnFuAPtSOTtOT/QrXdeL800B7QvyR6ZE/BOWy0PwR1
g1JP2HwDyzZ7MVxmwXtQjDCd4PsqtBvxzevZA+dNgSNDd3yIXbX2DzG7H+rwOQOXbBIvwxz8biqw
oE/Yb67gr9JpN8jbQ+wB9LbQkYF9sYoOkNeiYInB5YbSkZecMHIiMcOW4BNKvq8+uzHekN4D3o3P
HxmyX+vvhygIG7fNYYiXQF3Qw2uHe80AVWFOexbsq89uZDek90B24/NHhuy4KM2h7OBO6bvs5zr5
9/SW4cC6OGym2G1/IewNDhd0rKA7uNcvjfbx8HeDvHFhv4bZA+3dgkcG+8VK6/UB/CoIhsOMNoV8
8qW3918A5Ya3Tch3/HzaHnsK7a/Rbrwn8nsAPZE4NoQz/eYvqCaK14dg1+YJYoRQ8ZNdb1EwqPWF
sKjJwW4/eV7PUx8Xr1PuBcR3DLIP7DvEjgz729VdCY260uoQtFucMA4taMCnflzYt8qM8Ikpxx8I
r+yA/nW67UZ+xxh7AL9D6shwv1zdQzuLX8buccb9HcYcouIWgfIDyGL/xHQaSIG+UrArC0+M+f4a
7UZ6Ir8HyhOJY0N4Xd5BmzvnAK0AKbKk9auEf7qgQzmZKYCoY75zVl/urdcLOG/K74PzpsR/Ac6/
V3HjksdmgX/95Ec7JvDrGz0S2CNnSfzYmmJ7i5U8sTB0PAB3bFelAvSG+dWd8sVF5bFB5larx+ey
G9f4eIm/vyn/fW0c18HqEF0pgFdDVYEFpOuF6j9wp2CXJIaNkI/Me1Lu+WFvvXbPz4n8DiA3/gRd
SycSR4bzbbDSh+hKAThD4z4IXtKXQiLkBCKbSEBe4+f68Og/7a/RboQn8htw7u7IOpE4MoRv4tXd
+jANhGAf3FiY/bQW70g3Iz7WGJFfgZPnrtP+eu3GeSK/B84TiSPD+TKDrmB/P6GC3RimRBISTE+F
JFtFvTDTTbDKkGLenMh7K7Qb303xPeDdFDgydMdgng0VBKvy/jCd36DEEzY/QqrpKTkxnc2QiyKw
pRlm/CbKr1dsN9wvjLMH7i9IHtkDAFt+q3W5PkBjbWqdWNwaN02+1CgMn1jQJ8yi0/bpr9FpN+pb
I+yB95bMkSF9E9fQ0P/vX8kh/yipxWGn1RP13gp4oROIZ8NSTycbb/bXaDfKE/k9MJ5IHBnCn4AH
1QeJb8HOSGioTNFLveAe+oIBJbMQxEWes7FXqLQb4+kAe4A8FTkylMEujZ4VdIA7RCQTeslAVgJK
CZ7SkltxLnwy9n+DBmGTyfxKtXajvWuQPRDfJXZ8qANRgyMwDpGygF7bjIxtpF6oBYMeUiYiCDbx
TJ3qB/q4r1YvYj69sv0gn0odIeKXcFrLIQB/6BDHYZo/Ab5lsiFaRmCWS3MSJ4OZ9mZvpV7Ge3OI
PeHeFDo+tGFVt1fl98Os6+ZYTTJuonwhPgoW3JICIqTQqObhtWnHH1fYV6j3IvY7rnI//HcIHtsz
MLYIPERIDerIKCHQbf8J/B1G3YL1H7ZwTNf3vTV6Ae9N+X2A3pQ4MoQ/1NCFKjnIuTewjVpAJAUw
fDEFDWemYCzIJJ72Gp12o7w1wh44b8kcGdJfs/gQhhtON+JwIgr0AJzUdANFgzc4hg3Vmyv3vors
hnZDeg9YNz7/fwHpy8fT/Trpz11Vq9nDGYHPTqj7/bsPNwfONpyIPrm6OxLQvxpRLO//fAvboSlD
DCD7dfzgONCGozzeuJ/AbcqsIZP251s4bBAaucK2yrGGBDZemWMH7nb99NZYKwq9MdB48gKH/337
JoUmSgEcYShOJATRBWcQgsXQJBaYns7qp7cobL63BBUS6hGhPeGvIxxvsrj3s/TXPXn6/U1aJzeZ
Siv951s4FPHtm/zxc6O+cH1Qz2pBTRvUPnEiYCc4vH+3ej/uFoFb8P+qsg3TmITddV55hp2LyuVe
+aEiSeCEpK/cAafZB9Xg+JpUSXKra688NRCuT+vBww6uO9uXmVfZhUmvKFRZzKo46Zyeh2s6WI1T
gX9yHhTNd1m3+Yesz/QsKuLuRvp+7iRJyh1Ze9kHUzeXJaq5XaXSbVSQXSd+Udhtm/rvsc/TRQ2B
rJnfeNjVGH9MBhyfxjGtF6Gki5zVS9qLD35Rl/PODIlrNbm6jlWXOKYlvxnIak9lKz6lA1EfC7PN
LgPSp/NqkLVjRGnnYLgF1woLb96hSp4WWcau/ZZYdpXI5LTNuXRjn8rTPB0q2/f5l0znrW3mYWzD
zb+oi34RSeNrC11u7CqrHZmx0GFBfoZqcxZxH82I35xFpXHeZOIT3M3LLPNyG1VZZWdWndhpFHxj
jbnqLNnZWZt99ovoc8nSeJYHfmt7vrqtTB3bNDYsm6aYO5bvn0ZDU5waVrKmfhDbXWqdWSVRdjWk
tS1ZGM4rg/nzwGuRnbLhKwAdOtLKbzPDuzLj/rsY1Cn14hyuhN57vb4xdNpcREKUdlkNaFa04ooO
MrYHb7hiGUBa5Z1b9O1NlNDvhJafhza6M7y8tLMgOIvi7tpqvcDmOa5s7CNtGy1ZjvVXTlx32m19
ec2EqBySmKeWti6yLhGzjFPPZjj4mvvDO7CU52HBA9voBsNu0kja8Hx0jiWKSFzTHoX0OyIW65e8
0tGMB/654ZlD4pS49N2YldoOOFsbOpqrWpg2Nvq5NXiF7cmQXaImPmtCVdqcpaFNEnxBOQvtuGlC
20M4cH0m1KJn0UwUWNjaGMj7krHGaUSZOqYf3RUkN+0+UP1MJX09y0I5RygKbSsa4CYr7S2NXheO
zyLstDDBHQRPKvXz93GadvBkm8tOSG3nUYI+pIGnbc80T3GWdnbJwtbm0kpc4rXOYKLUpr237nty
qgzBlhFjH8rK+0bStHJ4RB1wFK9MzeJlazLLTtoa2Ty2loYozWte9ZndibJycqyseVeat02UZY5X
sQuk2tyRaS8dZLCzMq7VGe6z88KM8bLIFKBUSSemXzT2ro3Wn7cD7+ZmqxZVUarIkUm50H2U234f
uKKIvwcxm4ssh6kO0yTPeQc3NvmWB/qs422+jAwu3FhhfB20OXW92gjeh6rwz1JTRHYtvKumMDI7
lNaM9HKw47SB57xJUtvLu3c91q3dF3l0VvSDsGtCvFNUVOZM6Mxc9L4nXWQUepkX6bkfID7r/Zqe
acsfzooQGwszK9AsK/J3liHL+RD1Zwbyv+RGQm9IqDoHVr9oaShTOkGUnxm0dfzO92ZWmH8teOj/
0GniygCm8TsehushHCpip5JWpf38ZNaNlfkuy/tS+cHT+bq/fv3XhyyBfx6Oav33H8fjef/922Kd
jXURevqh0X7++tS/j3sd7dWvs18nVvDxjN8XTORv33yV/TQhQ/iy/bx98Bu2Lego9cyCQgXQGOai
DE6oIWCQf1lQPOYo4EgyE2PwlQSQqJ8WVJ7Q0XGCQ4BhuzM0gAS7928LCnukxw3SFscUnGvyOguK
tizoaLsxG3faQ7vgkeM9t6ANSUlVGLK/hqNq9RwZcTrTJtKRHVHhFecChR2zi4YZhsO8NL9s2/oW
JWzBRNTYuhxqWwWIXXRpV9hNSFK71uYZ5F6RE/dUzwmu5JUFNuG0a+A5JmaZ25ZZGedJ77OFDrMv
csChYzB0lxYmsnEwvEtUFtlem8WukY+zyefXg4gbJ80aZPs5jxyVtYONhU/tWvmpkybkXUSNeNnA
OuImHpuhMmCnBu86m1FPL3FUp8KWVsoclUfvTSzWbVTcZo26yJO2dEtkGcuwM7ozX8axM1Qyv0a1
9Q382/eygFE8HF1C8XXrmqR2dZfGrtfKS2TCraEEjJffvEPR8Cmp848yLM5VoL8hgy7CPAFlh5Y4
qQgvTNZ3dt2yyyEX92CYIqfvo8IRpDnv+bi8xW3hGHWV2IHVzSXx7qKAapuJbO4B8+BGcZmS/Euo
ksLmNPccFSTlrGX990GRK6xK+EXk71Xgxw5YmkLcaCqMfmHUaW/nAXyfh9rGKcrMFbiclXm2ILA4
ItkuCKrOayznuBzWgxBqxnhznnasdHjJwZToPgCuoHPHTEKwVqLNTyUwJ7sl5ue8ji9rg/puYeaz
piPM1f3a47AgkhyMpeev+j79UXM/c3nEUrcyh2yOURVfipjceGVv2dwq0Gke5u+CcliJQns2rgzf
CeLMckqwEnZqZcuGVJ/CMHtXowTZlgUURsThfCjmLE5KJ6BAs7D1rmv9z1WaSyA/+twvq9htjKSZ
CQseV6GZZ6vIB5bYD+iUx6maZYk27cz3qpkq5KfcC4Ed+IVTaOvca0Xp9oXu3IqpFeoH36mabMU7
Wjq6M5SrDW849arMdNsqima5byo7IWDJEB5ytzN90/Yr/5Z7HJ6pjJJTMC2X1UgI6pEaeCNJUCNd
oMAbYqN9ZwGPSEdCkY7UggHHSCxyCsdRVk4D7KNLtXZjgzCHB3iJRopijWSFjbQlBP6SdcayzGB5
74HZ1GH9OQSmkwPjCc26c7EPXIvhq5L4iV0CO2pahmbhSJi8kTpJ4FAUuFRoqtzWeXBKgWW1obzq
SHqrRvqVAA+LiwoBtwBqJkaSlvtlbVee9VVnxTsyMrkwjNbhyO164i2GuuUOGXmfHhmgBCqYjZyQ
+iqeGXn0OQW6iMugty0gkCUKv6Ujo8Qjt8xHlqkyelkD7QyBfmKgoUImaIY6NrOAoHojU62BsjYj
dw2BxFZAZnkI58WXSWy3HMxvAIS3GkhlRyMHbkY2rB94MYYHr9DSvCZRJgy3YIO6///RLD63bwxi
97+ziM8Lix9Tsg9+2oPUT4uIoTxn3KSEoOctg96YMOAviwgR4/GQIGjwJKAwekwEPFlEE9pd47GZ
PRqroaGdLoQTf1pEAr36YEBwBQWUaILBfI1FxPAdmy6lhHJd2LhsQREJhQY0E4NYDTTLi7rurtKW
ylkDUyu3MxqC1Yl42wATY/1Z2AG3nwF1rr7C7G8+RqYG86dlWnx+dvd2eLhj34OpNmAsoWkCOJ/m
2Ddj0zybaZ9HMqibK1Kk+MqPhtSza55ZgdM1VSbtpjXrr7zJDWWXiahg4QrLyLe9QXPTgZrH9F5W
FbqGMYLaJXGMPw7MEHjRW8xb497A3fz3GhM4cG9LY6jBAe9eAp2A44AmGiseALZ9dUU75vuu1Q3x
xwY6mdN5xfuM2U3f4dBV3BP2wK1e2X2E6CJpyh67ZZNV90GnNXaUkYMhqVTWwEoeoMbmJYv8mZ+F
wU1Uy7NEy0C7UAUkP+mgOI/ilnUzpQ3rUpVBkyx+f1XbMED1J4L4AjRqhjYGDxf9LM7Ae8NvjTzW
V2nlyU+ZLzCxzYjAo5GndXfTdqW8zT0cf/n9147P2vPwBuzsgJPuOIVW/9CpktBRrWdfy1Dnm7n2
06tUDPgKR0F9lerSUcILPv3+m2D6bH2ThHQrh02gsKNk5KLPvylPzX4oyiC7EjkyV0WblfHCq0RP
7CgPZqio48GhqBeZE1LWJv/poZmyULhKMp68bAK1he6M06+Hgi5gLWmirngRsVUS1mwVxaMObEj0
zCqzzO4RQL9o46IldhFlfF3FUi9b2ZsXnUVL5NA2zCIn5GnykZY5oW4g+n6dG00OTtaQcIfJzCxP
GbWAtP7+7o3dfCe3D7bEw7IBgSgC7b5HB+D57UNWzVLGPOMS116yUmWlfXDeoyo1wQ3uU/+sDVT0
3Rcyv+iGIphbmdkph+CG/6j4MGROD2bKMbOwWauS8vuG5QE/+72SJtsCmZoUHqIx2QZpVsYhmvdc
S6sUCohxRS9Ds8g9KdxKBsOiqzoq51VT107ZFehdk/SstoMg4BCWSBealPkiNnPiRHGRvM9jlnTg
qgPNasMkW/a6AkvNivyjpSPhekXqgUUOQ2WrikJMwAt1etXmhr4ujAGCYD6WoW0MXpo4pAmSU2ZV
8XsS+jd+n9LOjmteXFVeMcbwDAqhMAI3UvUE1gazHgYbtUCk44CJrx64tWeBJfDF4HeNdFoUmIkD
s0uNQYQ+sdteDC5umeEOYXeX66K6rZEBbKtNKj73dFEvTY+QD0WA22jhcQMrewgi7zsUqpSNrdLC
+FYnPIGogCbLKEvzJS5kfK+a3IJ5T5PoVkmv43ZTmP5Z6ZW108N9WGCTyOuiTbqZ2ZbFHOMON7MY
jrT0nab1ReE0JPBmiaalW+fyOvAMH7kYZ9UpmBrSOikKLVtUPP7SJSg4J6XMbxmt2KKWoUHm2kqA
I1tZOdOoC4d5Ewl/bnQdWhEdtz+0n+fMAb6Dajv1SePPuyrMYHK0LUQXmlrMy8wL3LiiyWkKHwWv
yASHwGqShtuhDkPD4V7LbZ6xbrDNKvYcWhlpsiitaOabdY/etRSbrtIlGrmeWVRzWrVSLzrKuwuI
JA2x965uC4i32r2K+7S8D7yAkOGrbo2OJ4EtS1jKszvSJ2FFSzjCq65zdFVFVRJ1Z1IVw6KRdeUt
k1IBEQ1JnN0ibtBl2FNaOzVg4EFQBUGscQgSIdzU88AeVnHUFjMran3klHEF4Z+gAB86O4163gZu
38WyurB0ReGJar0MIjNODbZwbhlB6F03MHUs3ylELuCBo5FO5mmsSmnHBRgvb9Y1ynIMDzLdzO49
lJpwQqqXJE4AkWFv3sY8TmbaA1YwZ6mfDI4YGKyYKYnM2kmC0ojtRve+vtHKSJJZ5ivxw6gbrpCL
MlItlClqccUMz/fOUsoriOs5aaeLoT/VsMmzDMC5CHgy83QDDo8sdarmfWwl/SnSOskdRvpYObxj
fbwoVaEMiJSa5LORQ6zZhfB5lLjwLzKu4xAZGm55moJvADR4SUtZxbMoqKz3Q11ROg+NjODzoA00
T20ekKBaeGWTp7dgjOlZ6A8kmtc5aDDLqtgfZgJ3g3RE2OftZSJ6eLQNmCql62Fcn5WUsdj1PerX
Lk8bgFNxDfwkHUI6rOMIDv11BSiQuLRPgmKJkTJPfcUjyyFRVFBXZcpzh9qLGERjy1zehF4bmg5V
RTjYSR4OxjnyYnOOc89noK7k+Qz3wZAtA4VbfxZJM2jt8XM2lkqm8Pj4tHC6VhmDXXXK+FamfdaD
HwbzCJzoIVWDskVjGvRDH7ekvrJy2WduKovqktUpmCRf8wgEZELhbnkqwOlXCOinAcT4krib6xYc
iXNc+dUHCOazFeu8xLMFhod3XqcdpzNtDQqUr3GYuDEtIu2I1psprIqvcdsCswj9sLnVzGq/52VA
TxveQlBPRAxB9E54MA6Ls7Cbp2WDr4Yup+Y7XTH8AXxm+ERrGVo4Fe55N2tIEqrTsiOkXabc15Am
MLj8lKJifDjDsNALHutA33S9WQkHFS1gE7QpKJZpWHTPwYLJT1QgeLoTWCVLCBzILltWWnrkJizr
KHpPRCohLmyGbX1ZddVIPoO+u2GRYXWzrE3gq7NsGBq7I0k1LFDEx4sfVYf0yKhXnuArk6VwFXXB
4FYFURYNjowamDp57EfqXVpymPJlDazAh/dgTSVVGlwX2OxLiDPnAQK427KrLxMjyLWtUF10kAzh
iM76piDjogGTyYErggWkk3jkyVWafPLgJIcz0SglbBEwiMV0vW+t2pSCGl0Z9u9p1SEIIwDNDc+z
PI3CWwHWYqFThK8K6RdfoYTNKuzADBQ5y4Qv63MvyPzG7UtetEBwe0jwELitDuJFfxfFEbvpao2y
0wL1TfS5tRJfnyaekfzoISIEa4gq4sAFP0DQmSJ9oOe5lcjPBvKSedLmPkR+TFjm+rIN3qus0ucy
iULmMgJOPSx7kIuzm4DIT2VoNP4sJilMk8HwqFyaaYaLdQILcn8Gfe1hbrTjij0LmQF3tGuGZgZG
pi3OcVkTy/FkXDVgaSnE3HhZhN9K2cgPRg80/WyQVYnvK5322k4w5s1StRBJmnUJhO8cs/Utf5kD
LC3kp6Q1H7KmqS67nse3YaMLW3B9aiZdw06H1gJwIoT1sMhjCPFfplZnXhgVMrNZUKRJc+73bR44
gukk+ABMRN8jmcIyAkunbuwo0K22ZduIAqxAX9zGfoHVF5wNVDT2AAys/5hX1JAwmPbKWcCNyD+D
lE/7PfCR0Tgx11a0VBLhd90YzVmUdaHVTA01PKSKVCG96aJ4YFeJlcexXeQNsi5NHJiQJAR2o2dt
kANqrUiVb5cDT2Dt0Dqe4Y52pdvERJSLQRTw9Edm53O393qkHS/XVvEZAnf4QxiU8KyBpYPYU+wn
+iaVKYYFluQynIsksFq7q78SUbcC21HU8I+MpEXrtsyvzEvTi0XzvvC0LMG4wxM9yxUdI2Ko67sL
Rasou+BlHkC6oEOQXfG6DHIUqusM/xLyeXnrJtqDNQPYWF1dxrEH+pcy8uc6EFHgth1Cy74wYd73
lsWVbXoBv3xgpU8p8ZvnSd3nIf7nEf99UgeX6q7MdPajmuYONgb670swjPH2lxMMz88Vfx6GeUzu
j7I/gypjon4spKPyVy7hV1AFEvXQ/wcCCBJAkhb4Jj/TDAI2SkGRloS2MRD5h8ZQ/w6q8BPwySDc
A9lI8Go49JD4mWzZwBTqE55+30jUozER/9yTZXx0KqFVAfj+8DNGdp67HjLhg0wb1lzHjQL665RF
hs7iDptn6QDeghNaycc+9InNO+NCpOC9hSxp7Da03CA1IC9QhR86vzqPRHfboO6i93AIMW0LEqyt
gCVODcAcq09t0l/xhC6ZgkRz7GV2IfR13nVnVl5bTpcUSzXErZ1oDRzQhxAsl92ipPQHFX7ltLpI
baSi3oFpRGZlZBT2IMx5HYbCMWNg1FIHX3sLoq06NvuZrPrERWX+wbTq2jZrgzgQo3BoPiCnbyvb
9IvGKVPvcyyxWxGrd0oI4DLVfrfqyA69InGhb/1dEXLlNJb6YoGVsiG2sqSdAJOluA1c7IvlmwvB
88HxWjoPRGnYVCenxGqYC/n4U90lidubTQkUpvveZ973pOquURYUNoP4lEJSOYkZLaKoWwpwsue4
GzMeDWQthZ/f+5DEcDucfskhlmrToBmTnNXa8shwpaN+pXLmnddMgTPICGQmfGtmpAK/J5qXrgmu
hKNGo5PpTi7aNjrHrGi+CtmUkJuBcpE5uLSQDuZqZno8m0NOCBJD4FnMRBBAMkcOGWRFU33ZI9G5
EUSBIBmrcteLjd6p4Gm2Sx0FM0OBu9Mj5c1SpNW5Qlm8ELKtbglrhk/t0ARuhoAiRDpGl72V8Dmk
9qOvWdmQM8W59aXRSfJel7i4CSyilpD+6C4K6VG36ePsDEw4BLEN0wwvvDbNRwbbXdTlEBN7SJD3
vROQw4Yl1yiWKUHvokziWQD54I+ohxu/8CBu980Ipf/DFHE9SyQBFlZBfh1qEZw+IRAZDPPaboYK
npsSuKEml1U/wF1voUjBv9Bp8RVovHSMor4qg7Q99byqm3PUQLqIZnLOWdDYZpdfmRWp5kWCIMpR
VrMCy3NwfXw7ihUwQzqM/rJM3cGMsJthoVye9Gie1TTIZ0TdcpqCd6qs/2HvTJokx5Es/YtYQnAB
gWNxsd3cfF/iQvEIdwdIkAQXcMOv72eRktWRmVMtkiIzh5apW1VEuoctpEL1ve8p1Vlzxo5qFNMz
xwC1pwAIY4keY+uwxiaD038tXu7s0F+nC1uL34SI/9sl/39bMb8+xu9/Kub/rOB9f7z/uY7/9mO/
1PHguvCFoUYyPBcOJf6XOo712Cxwfd9zYQ/jr36v4+Aw8TBIPJAZhT6Aro6/+l0cB3WPh2NAncLD
17H/CZjW36jj6N3+WsdxJMCrjjA/Yvvnn+o4W0THRybHS1mY9sAqHpz7ZjmypuqScOyfKYpRVxq1
a3RU2U+ph865G9cVA7stEsyK1R2XbRMbtd4ZERz0UOtNVw1FTOwKkVeBeiiqKQDUIzdCTXIPJcFN
RJsHMXo9IRM+dc2mjtpqfFhF+8YlWBGHRhj+MM6VSevBf54Wxx7Ctllw0qzXC3isVAo7ytkZXNuC
4yIvrpf7SjQufKL4vrreDO31tvCuNwj77VZ5aH/eO+x6G7XXG2rqHTeNrjeZvt5u1fXG8yhH74d7
Uf28KQVJwuttGuJ+Zdcbd7rewlNll9i53tbD9Qbv5+GGXG95g3u/Rw1YUQuku6YeaoMbiON8LRbm
WjYK9LUxTLpkHocxa67FReSOyfCPiS+45PTbassp33RhJ2MIXNAe5EB2vB/vpfIfWOk2476l0jF3
BWm6HSSqpOkk3XXhOjQP1Li8j+WYR1PsR3mw9ckMnijMwy+Vj/O+WPW4hV2pUls3t2s53NCgPTSV
vOlc78iMs9HDfHBqmmqLvvF6gJY2CYv2Y268+8Lwt/8n/eL/tuIBlBGa+L/vBH/b3PLn2vHbT/1S
O2BYeVgqdOVCflpk/6od/j9cbKqBNs1cD/wITJvfjTXskArx8AyGJ5FCGcZTr/67dnA8Wwd8LzwU
GFAQwP4WrInO5c+1A9o+Al/X7aMgOa/kyh96wKZC2LPCy7hMXKohLX3/SYTurmwaBzeoyAjIgCR0
pjXOp3G/zCuJde3RjEz8YEJIQq3vk40o10fm6G47lrB4G1JUgBDrrBzbH8JbYANbMy75llI9Oqnv
jM8Ds8E9tMZ5S3uan2SwUrAeUUo7z0/aaOrP8CXGOBSe3CwR+W7y4ctFD7Rr5wZeeUmKhGrQesUy
3q9kuYumkt51bV0lQs0sdSvwij2jdVzxpo/FyNt45QAQarwqtqhNKUZnR8ooz8oaLR0biw/SeAs4
kikH7tiUE2jCXIBssXlsfAgoKm/IJfdKQHAj/D4jebOLSEXiFv+8Laom7iOX4F8BC2h9zuLexwDM
/flcRfml1PKwNN7O9OBETOO9G4hMRypgpmszwYDLy3sdDomi+jg5bhD31C8TQCXr1kpo4P3YZ2zs
ZNJLmmcuc55aOzxAtN1BaGH7sLO3/azWFF7Ii99FP3SvbzrMH6iB8oCZ4jY0+aOYgCjOaDQnxb/6
Nti7Iz+HqOCocA4FshpEmPj1azlXB9oUb0tphmTlztcimExGwzc4Bb6FDf9smwi6IASWpGwMAwmC
j2Wq/Ba9qpCnooBWrTCzgyzUt2wtn5UbQfuv4RhVDSxBB31iVusGM8IwvNBpeGN0SXTg6UyJYoxX
UUjITN2z9rna1G4VgjykIoW4/qjx1VeVN/lJMbkmayyZElo5OoEOftsOVR270VxmgKB+BK15naT6
qEUTbHKffLS5KjdykebQ5BiwHfifoommDV38PLHdAGkSl+t2dN0idvOgRvtOujBtA3/vjJxvBavL
xGcaN4JmXyvmoEAN3/12hn4OfT4j5aDSkQ5faFgpXu1aJ7j32wQiVbUpbBRTmXMoN5wnXYF7BKM/
NGgtLYTZLvGh/8MgmbZiohxG2XLxp3znhc2tXJoLVWzvOAVUiD2O83w+c/zOITAPbTebhK4RGBn6
EvH6opoOmIVfrmleLltFCDTEAs/iNK9RJd1UL2BRdNnybIh4n2huwOWUzUar9ux543Zw6qdBjHvV
iZOp23pHvCGB7HXrVdMuGGcVRzPH1b4sl7ry7AFC5JscipuQooWg7hztQduePF7foBvZVo5vIL+s
XqKVskCETJEKSVjiCFLsx7I4eWNxInX7VhHY9WwexpiS/CmIwpexHy5erYIt1EeeLiWhIKAxGfWN
Wa8IiYoBZm1FALCTU7skzlrfzzR/sTleX9eOA0ZQH6UHPyegAoP7qdK2VPvc9p8dtM3MsyCVO+7t
XKFtIleqYo6PNZmMfPFy/87Mvoj9YlyzqRyCVE093anO/cKi7mNQFKcCfly8VLWPy7pL3bp4s9R/
zHN8732uI+iZlROrktyHjL+RvKxj4Td3nrPM6KzYF+Xj1lhnjTsoyJk3THe9HLd54z1OcgBZ7Ahw
z+wA7xywcVTfVV2TLlHhHORcPRWhaVLXYIpeWTaJaoVyDgip7MDK0WZWWRUsOrWuPNtmdtA76CV1
+upL2Pyxa0HprcRTeHOy3S6y/Ohb8OmaoFNgs02DyAMeByLkOAvH7gxrN9Ecidh29g6a+Zw5k2kT
xcXD4hfZ6Dk7nrdHzutpE7T9AYAJ0DQi4d109br1ZzomFdXhJq/X17p3N0a472C4iu3iyRFK+3QD
wOgJg+PJRho/6mE0nYJNX4oM4/SxaPtdOeRmZ3ERJbOlRRwG7naNyA9L2nMoULMX7oOxlRjA+k9T
FpC9u3e7iCwqcHcO65hgk9SbZk2aK0DCC8T9XAE3M6imwmyCCReBi3rk46SIioqloWoqSM/RYzsW
ZxuEn8qgUBY+1dlURXCAwA0aW5yJP/fxMvBLz63YesH8XOG6BQYXlLhRegln0QGE3d/14TRBSLB6
667iHWdnn+lCYsRFs5xhvqAXxhy2dbBgY9sP/WuhyEPYjFWiLX8ikXkrlYTgjroQDwDx4gpMPCoI
2ViPffdzBs0EPDJe3/e+7DRMCf0x5BZ4V0mmtJG+vYFUHqZ5293izDvPAf4OMu7RcBjiZuohkTg6
4/X4kVOw2NDGP3zZXMqSQxx1cgXOLj+TlkJUAae94ZpPqVhMADd5BM9vUMFyFt7IyMVd1hZNDIEA
c67YwYCVWYQ66UCjmZ3mYdVWbgun/Kai9kcIFs2Xdb3Nc7VFH4HvIJ8eSNiSpJu66GCdaN8aiaO4
CRS04SBKCowlCXXIcOE2SMVafylX6YTV82WJ8gognDi5flEn3LRfzGlEhkHtbdYOyZyuDvGb6LuS
YRi3wnkFRpHf9aw5o5rDQTkHk9zKIggdBAwk27tG8e5GV5WWNO4LV4gYqPlkM5fwTp7+00e718jT
NW307/voB93o+i8z+G8/9a8+Guv8guvjYRmDagoM+5cZ3L+yZmivAeRgTr+O57/P4Oy6z+C6RR0L
O+Fq/jH0hOcVevhdASZnjvn878zgwU8Y5r+1VBa6uIQwy2M7SoQcVXTNVv6qpaqmrVrllu7F88Ne
bkJmcUP5dPzRl2M2BWqJ3TpXO0ybTVIS/pybScY5KnsKAPy7qauHqJ55DCAnBeDuIqlQfB8ddz9M
3Uk5JXyksC8Bpk5pTiezUT75NkeLAAkyD8e66/bdBJHTFheAAfta8jN0wpj0mGbHvATesELUiwa2
a4oys7OTRr5JzUx1oh17q+iYJ1Ux33u+eeNFBKxcNXerctDst86jI4s+yXEExuhaNiKnx6p8rYr1
G2z9MS7DEipe6cZ9NySkDo81nMystM121RqDcxtcZGED8LfB0YbtzdSMRzbkHy2fjwVEOg/H7l2w
QJUVTY6yhBlbeEg+9WE2IMf63sMKjmdgLHbonwvP/RBRiTrSwjGmVfW0RM7HGE54IxXfKcXOayVk
RvAecledC9u+A2gfNlOuimxeDegArwu3TZjDeMG52jNo3G1+Gcb5W02NjlXknRbWbU2gNPxk9BYT
Ixs2iG2XhxfltT7QXrsbZwI92fLnkvLNlR+fUTdcw6ZkYOVdU7tBMjXLiQ32NA/Mzea8fS1k6OM4
6Er0HOq5G1Z0ycq8hnY+zlA7YzPUX5r1Zzii4iSVuOHwMNPG0AxdkUmI8XZDDmFg6MSjV/V7t0UD
ziLDDzhgoSZS+dGI6EHk63ZU84IOuz6sAAcgWDqfS9AeLW02tDQv+DNoQWEfBxNDWsorEHEqzW0z
lNWJL/UjYlRE4eQAZ0OhaaXSB50SjcNXTbodZM4tnTCKYAWR2OA/BF/VZa0GIewqHHGTMzyQqd+W
oXoLVrLlYhRIAYbHoYygrWiQ2U1T342lXDcdQlWBsSCx8ylbZYTcGEanRNn+3PJqiMsaDLgHv9YT
+qjCYFPx0cYKp2mg5kMpTZnIfr3pOT77ID8aG5rYYUW0/hiF7l9kY0CcCeipMdVNdO+12G0kYtbX
zp3b8u4e+EddbclSbIzvbpSDGj96+ZcSy2ceIi4hdQX0B6dQ1CzPA+2/GzV2YKD1XST41pHqjrTV
nrE6TDB5pe0SAcWLprSoXIjmobkhfhXgzbVZF0XwCJZyp80SZDIP5phXkU1gvtZwNurU6AWH9/q+
UC9FuuEby1nm8vUJX7SMWens18I5QSNCM+zsG2D+FHkwUVYpd/JdWa8bxRqBMQmDbmAPfmteSNen
MlxF6tXLZqrB0PhFeYqKDke58mK+RNuZI+bV1vhCnk1fbtdl3IxsTqZ63BfgXmLVwB6th1QW/LUG
Qw6pXJ6mFs6J7Qq+WWp0A1Y1O965N77hP4Y5wE2wJusC5EMFPPXb9RyM5X7uMRzWntsfvXnGdxti
+kLgc+h/jP10KReWDmXw6BaA4Pnan6yKaAz+IAsU7kKXybhbrkkI5T6EY/7Z0Su2PtV7wwVLhmja
IdGJ/r8Ld4Ff3+aunY6yLXBSh4AIiimRwXieo+a4OE0T1+jwA8HeEPaMDWW7Ef1Pv7pbHo23BZ1e
XK/d58GyoRPCX6qsUP+WBkFWqu/9kRtkR/pL4ApMqeXu6j+1xXSTU/uIjGfceeYu98DYdOj1uhCA
BV9Ta70NpX3mOwTYxTClA0ZfVGF/w0NzdBu7YU0wJRwAS9e636t88GLjjd/8glXJ7IX+nkTillwD
I0LcYXI4cbbCwbEYB6mdDy5VSaRnmahWlFntFHzvi3DccrncIt65URWGN86+fM9umrpNB2qyoWfO
pii6Jpkdc1lNe2si9rQUo0zqMASQUYc8W8B5vSo/X1PRTl/lMB7l4qK/bfal0SfJ4faPfXE/Wi/1
iv4rFGs2jqS9kcuyAQv0pIhn43BSz6jA2dCEd70D+0+4/M2h/cvSLce5Bq47gOhD93kFZIDWwayT
yzUsK46BMSjjwbrPO142Mcm79ZryHNTzhGSGSonTkI1jzZywhWWVW+y9EMnJdq5h5Gj5EUz+mK4T
Jh/YTO/c2gvpaz9DuyBS4RGEGC1Smn73FZkJMUSjzqaIUC7XpUmlLl506d1C7boPVDNjTg/iRQ4/
Qual0GcPkbNeBrrsLabIpI8I0L6weVpW57ld9CNEaBUDWklbBBVjts6XSVFwGJY92AahxQpJkLse
g0oWVlG5Cxo3j2k+IehcE3+Sx1/6qf+T14ts2p+sXgq15xpjBaQCtRE90q/tydBhx8/KfX4hD3X8
Gm6m2y4B8ZPw98f74awPyNwkZlecwu2cyp3eyEModuVZbv/T4P5scN3/USj+Z4V55/OvQvH1p35v
cLF3B2tu/asgjA4SZtIvDa77DzdCLAMN7M+cxR9gAY7W13cRZISE+1O+/d1kYniuI7phPPfP51jf
BHf/75hMf+GUcVkjbYsXyPDYIvD2fxKKRQ9VrfRZdXFI9yYKA5BqrL6TNdxXBE1SiYt76McsCtEG
TPB60cLwtbuZWQ34bIbJXxddHY/Cwb0yehuIzBtX+w9zMXkZi65xIbGeXJOn1NEgEol5LpjXJhWp
TjLsoMk4/a5Sw3tNFxGPJPjI0bYkiN0KRKOX48KmDzViBmUKjg3G6Yyu0FXJikrrjk6V9nW4pGB2
kHQeEdIPVpeiGWnWTaNRHdcwTD1RHcclhDIizKsPAjsFTPWhXXoAQ9HiUG6QUJ6QwqyhnoQSwHoT
8VvLycuUW4yFrFAgtJ0Zk7nB/6VlkVjRenFdizyOctRks0GmMI87SKOxNy/PVoqzwbHUQjyReE+x
XqEe1wg4zoVKJyHqTDXeOSfeY75WBoYVmiysXUD8YphAeCuHxUHg72p/LTB8ty8s7J2EQl8YRRJO
XSEejFe238AQPq82mI/mSl74ZthWZAYo3PXfkJLcF43a1u2ME3cMdRzMMO9GHwKpzNlZCu/Z74Zr
qHO+OFjimik12tQLrcgsB6Mneu5sHT3e+478CIF3bMErYouDUkdN383yDlQTohB9H1Zfb8fe3VYj
hNYeRVo/cyKbh8rF6PRZCPsxL/Le+lB1o7HVaI4hdrD3npQ3Oa5vjOKNu1uMpy9en/NLUOfDYeV5
EnBYcHNEIa6vZexKt8B5z9cbv7TAowpdz1uQ3i9zM6dRUcuzv+hP0F8QfLTgmAAok/a37MH/7246
rC2UpX8/yP++y+evle76c79UOuSrCbb3I+KMiMkfKx2F24XVNh7i1Bzm1i+jfIBCx1wC6xb/yR/t
dIo/QMjs5w7xqzbwNyodva5j+eWs/DnKI+3mIzqCLUr+Nbr2h7OSTCHmA13XFxvKgw/zKpgQkVoU
II6m1JsJq4zBCVXnAHTkBgDYzh3JtmjNRY7ozKsy5bN31xAnGX1ymIf2XY3BWz5UiWpAXFpyEjzY
WUn7WDl6TWQk3oa1upsggGWw6t8hVtAkkHCY82psE4tbFclscC8V0MqY1aZ50b48jqNmJ1Cxt0xe
ZzXNXaCtqK5cfUcebuPnBL6BvrTYAhEDXHydyURj3UBmDDvEzkaFG4zMxWWk+oNqDXsZxkhiZUTh
rCiyD1d2Miba+3n96K/LJ8aK8xDwa3v6CJdCp2Ultlg1cqSh9WM90Uuoo0MF/jzmMnzyHWQ8tPk2
S7oZJmQ3egJya+bsNuD9sar1pZzVTTkjreoQxFPCGWZSBL2c9M4LNkLAGENe1w3LE/LHSBW06xFm
kNk3YdWhhbdkA9Cs3gDx+YYAw204jadgZPqm7e5wrmxqjPvQhy84Hjejv8AkRC9+TcD46AR9AkKq
cl6nIH+ByL0BKQaMbJpDpGvr78U6PrWO66e1BRFGlvJmnfDRdWq8c5ccp4Ki9XMX7Ok6MBMbJnQM
y226AZG8yTHnx3VI52Qdpwe5lhn+d7EpMLCkpmueR7yMvLM2UYWzoNTqbVi4+GwYSbS7HrsJ3wPi
Hkh9uKxK9crceF39+4Lp4zznH0HXQgSi9DHQ9N6BqZw4hp54jUNlDCOZyBbWD/yCewf6Rlia4BRq
6ClLVz6yvPnB3AJIbn1XwxQrm/5ZcIwvIFewogJvaoew3JxgnGQxzAKRwAPY+IFZEA+AOqQLtWmL
MbVYXxNahXl72inPrzJk7VaYF+MnyMU2DSiEHDdqX7WuM47pGKc3Pu0rTZLAZJmRoiYDYLke5AVD
r20XnDZIv7Vnu/ZPnVX3eTsC7HNLmFQFBKhiQZqkHuHnVr0+unqp4BYBxmXDa0GjE9bT3jeTRs6i
4HXiEGu3dVPiaM77ecMRX0JO1PvWNt0Dm/DFh7NI19DeuGP+kU8OchhTeM9bdo/EyG724RWTPN9H
14M1xEUfgwraLFh0kCB1FcSeUFi0Mvfz9eicEseu78K3QxJCcU4qfKIxUJaDmZzUVbDIV+gZpKqL
C6futrBena3q3imxTwHgzCTsO1DodzPRR2SlHlVF0nFht8rzYHEIG2Dy8wH/Fc7zCg07NlWUSWs2
cp3oAYMbAhTEhPjaJyQ3nPUd3+t6QCw/0y32ySA34aeeE3x6y3CuXOeMLURNVrC1yZCZf9dY07O2
Jkzg0q/4ugBvr3MUxWsP9gZo/EMdzRp5e0O2uSd4grYQr2eqmnQecQXiz7+8agFAhAMfFPXVQa+c
+250P4cal0RA6+Kgo+ip7buboQJv45Hgs23dS+TMm6FcaOx4VXA9tTEZE3iyru1POXG3C1a4pDU+
8WPX4E3DypxgPDdvQV3BTMBmpRQpHZ5MUx/EWF21ywO67DRZ3zta6C1HaQxUsen80UmkDM4Adi5D
5dcxZiOWrgX6zbKeYxHo225wt2UfPLYWtVKTByI6eJQWuXtXR+/YJXUAn3NAVgjrawqXxqE7PjnU
kiSH/p9VJXicPsRFrYb8baL2rTfdvRwCsROVg7UJBMwhChzCWuNDy0id9uD/oMNhzYPfz8kc5U0s
6v572VcoFW2iJVJnvd2KTtaxFwyPaz4/K8+89B3DtKjGl4BjPQLxZpK6riePdiihMyEhgZgiTG8t
ujWuiL/vh/Khof7WtqOG10XeZrW40JpKBFR4mTAO6cdvKQJf3vNE7+bhYPPXuTgG0r9rSjiwIX0u
YQEXfo2vpjFb2ugbr9XotSsy7JCD+yQo9KDp+S3yV7i1AwhQCGBXcYQMTVZFMPCLIEg1n09DW91P
8FejpUL5xYoju5KHJsT+Lg2jpxDjS2SuPVtnDp25mShMzHAsYgG5I1j9Iq00L7Ze12P1VV+8kNVu
q6ovT42D8m+d/szXyNlM66gQd1tKhAt8H0sSGL6tHAGAVhxCzpxk+NnhkZ/d3jpi5QOc0U92bQXn
BkBwK1Cxo5fy2ij2EADAf3R2vSE/G8kB3zMWU9CdYNhGUeSJRv065Fj0dSF+ry+uhT+aDybYT5G8
gVaHjnUMVmAby+KhHrMuw+FRbngnNnVIzl4b7lGNDjTHpcMCL+6NY2HMBv5zEbWoEFMn4mBwdrIL
boJgELtGup/YUvWZr+I7jpwSu6KW3eo6ac2i1FMu3jpe4+ATnaql+rEUqgE3I7E+pISMhJQXIof0
VS71BLTOlNkMN64jg44R/4PG5VwlZHoU+LDb78Y9kCC/V3m0c7Bo66boo4vfLthqMtYEWVP3CR8/
TnFSfbZLeUAQNNq03XLXD3RbImSRhn7UbJrFxRqV3m2hg0KFI9382pilT5bqIQzWlFbhU8272xVM
YkytwrYpuumL6hZCex0P0EGJaR8jHfxAcb01fG6SSuISKGh3T5x+gwJHtnMAOpgThL8l9pNFFoI2
NRA1y/oCs3UFriPHrOBqzfrF4HqYRZVKaiXa/SGrl0pCzwuQStLeux2wIQchr21UlCjOjN5gzHrt
e8SCoypKdO1kBHudwpm94WjZTDM2eHXTEXfuLvKoG3ezvNI4bVIW1XkmOGoVORW5OeaVfoGP+Trn
iJOFTfQyeMtZL9GUzAV34tIhLZaqiWeQjE1CsCrHFoc+6M+LEJt29oCSFOxOhuANqUOfxnY620XG
blN8r4Lw0CkCq9NfT9PCxh0yQIBhFnquCWsSWqMQOhDFwdxjiUawU9o7za49juDqMS/DnKKWvpRz
Xd/6kEtTYZhzDfN56SQDG08AppIZckUc1g3IeywuyOBo7QYgOljMU36PZvQwbBlvo3bwtxw7AraC
D8Op7vo16fwZDhFW1GCFy1ZVubPl9Vyi58wNbq6wAvv1SI1zoEVUb6nUe45uq42r1i9pbCcOe/8/
stNvshNmk38/jv2zfv/Q/V+HMRc/9fswhsdVQlvC85VQazwWXpda/YtPJP+AFhXQnzPaH9Bm9o8I
y6J8PJT8Zwzl170feJwxiQBf/J5sif7OLAbZ6w+zGObNa0DFxcIFGLgRA0X5x1lMt2g1wzUfLm7l
Pyo9PHgDDMZguFML+pB5CuRBuCDLSLAr17VMa6XyTT6h/zbLmONgaTuUbyygQpz03g1w0coWXSdc
Riy/seTOuB2WRnD8rgbgCY71luy56L3raqaHPgIvZxvNYqKXs9O5OkYBwI1hJydxljBPIxOVWXUl
PHozdzduUz/iSTjhOZpscyo9LLjRFFEDkUPx8KpoGwzAktmk54RKIA22bx5lcz3fnRrERT/suxaQ
DDMiG6CdI1ZYf2IzwTNS3U5ceeFO+86DYxW4j24422uA04Y4FThyN104Isqi56zp9yU5EeF/TPK9
9xN4JDvshhTpPI3Y0mDH64GmqrSpFpV6qFtZu5bvs4XqBjLsYzTzAfUX9pSLN9RP+R5Wwe3qoJdF
8+jY02jIYQnYt7Cke+2WAQyb0E15FJ560d8WNTZzwVbE+LaQi6J9Bb1/zAj2dCXGj4bYCDHsox5r
xZDVvvfEHNxxR/7AOqO7oWGIalZ+BcJDko3XaS+GuUPgi0FZbHNtskr1JbqamcS9y05eIffrWAQx
LPe0ZM39onA+unYkWefDUwB3hh1GHKl/bEvtMtGZ6UEY109ywl+Eg1kLuZZt55aHQUWPaLDeiSOa
bb2q2ECFKifJU+1JFbdIe8dt0O5md/ISajroAngvtu+23AcTqHLSuLdtYJoHLGjDPwwCqFX6YoP+
B/ai6b03Obe4wN+5LnQMrKk5SEVecYyce6TVU4cFWL8y+5/LPH5O0bpuBrMATRtYjt4p/F5DRonh
psPiAQm/KbDvLfQEjH/mHqayfGstP9qOgNTVcqtn59StK3wVl11Rq5zEWuVzjJzTjSktbp/pUYr8
eycj8AA+Ivvo9x5y62NQ9MaXzo/A/hmxYyF8gRWEokZ6Bw54s6cifOqlKw+TaSjANvuA3zmfsIlu
QoJX68wI2ic/09pTj9g94dcvb/ExYtCcpiQPXgZd9slkMW8PQ9McBm9cksXB6CHXoouroYIEsQz6
Vbj5tfWR/W1JQw6csUuXZoURP9bPzINtIwzI4Kkk8eDpAl9Q22R5BdZiKFSBu914+6EASqZLKtPe
G/euZe6+Y3IfkbzaAjEM4o76a4yyCEARIc+hNDbWXbMLDExuh6alxmrWsoTH3FYYRG0YmARh7gUG
q4xSLgZsTQMwhwh36gThbYnoGsy9JwgGx7AfD9pfb3jQP0zRBJN0qLcSEFXc1LnFblZyMy3jU6FD
dB6rvK2D8U6J+Zmp5TzU9nXIEd9SWCYU17p8pkhMBYu7W4fh8b/YO4/lyJEtif7K/ADaAhrYIoEU
FMmkZnEDI1kktNb4+jnB7i7R6lnvezGLsdespMhExPXrfrx35I1jKOGZVZXOvX6+yLomsEVbbYvF
6TytnS/DVr/OyiUP5kkNbK0+04ah9JZu+DDM8DmJ1CuoJkcgLCdibkjmY/cahibBpmx9ymPEXqPB
F0Di/LkrbIyyC8atXgO2GxusUGvpgONdA3VnyR70ITX3iWGVXAMw4wRxBS/CTCr/vyP88wjX/zGf
9K1m48+nuPzCb6e49otgg2dh4Id4CIH4h1McEhe0d5xOro59Sqqtv7ujiJMSkgfgZYKuxJPJV/2+
PLIJodo05HLA/8a6/BeS6p/oU0izJAw0sLxcKDR5/fhp+ThMQ1NYrEBFdWojI1hS+9d3Bzniv86y
8p3+QbIlDmtxXeAnJDlrSMjOD0wma4JeO9jDcNUZKeHCB0VcueZ1Bwc3PGEu7dTgh3vUX+1T9Z9/
JikS//yK8jv64RW12WkTCBNkrupBYb8L4ZYPWEUas4qq7npqK4enJHYnK4Nv2Fn4bpYmaMIZEGYP
6ybgDLCeZ83VDhYBTwmkNXymMt3TnRjVLn8oHYSguhVfRyX7cGflqVyBcquaAQYGb2kacdPmM256
uhY7QcsVgsVUEu2NzNqhJydbjGX422t0kZCF9iYhiYX3fNABfYjWY312q0zOBnvrjTOO54juOMSS
8UJpQv5KKKUFGyWGm95nFPcWa7oOgWHi29C5TqinMdY9EiWHUjCwZ2l0TgCTtZFy3ypqBGb5eVz1
02zHkDLWjhhJt0t6Y2fgZ44THjUx/NGtUrfdDjLFZTXY6639mXpqPxNQlQxDWaSiUhmPaj6TUmuN
/LkZihZVO4+Mix443bEsVkwfXb+iEerNa8atwLKmS8UoLmo7OczZdNm64VER2ZEp/lHNcbw0iuJ6
7FW3oK3fYOJ9JT5gBpNpXM61cQZ/goBEfdGHE26G5YAOcRJrsynDxk/m5WIixT844Hl6cqjMUtN5
N4rHZtACw6iQEsr13szZUaLHZcdkKE9l1u9w1RyzNTsTFbL7XPMMz+Ck42pxSq8bM+EZPK0xSN03
/dJyHotoqxX1cBiGqd/lodZdO0mzXOTA2ra44tDPv7rKdGXEzk03tCqSYt6zfGy3al2chXlyGkrl
dhrLbazwZ0E0DZyE5EHRf7VjHFSqlcKFnAJ3KMjazapPvtA3UuJ/A2dmVxOpwMkzteMWW5WPSQak
BMmBqsK8YJyKsGk204z7A77PeDMv8Y0VqoeWa7ZTO0+4JTazbbZ3tVB0huL2o2RjWYQuRvDSW1cc
ugb2ODUb3wUmj3JgRDXgzfIEO8BGsTY6nnKLPaoaRqc4GS8NMyUYV+xmYSIvgYuZw/Ouq/Y4qrnE
9z7y65EcqK9NyoGP7fVCbtwLE4HObJDBc/UHo+0k8LLYNNLJwQph2WcTnOs2LxG1o8HTF+Us69a7
TmY5WLWifFSAMYSfpiNv6zDFR+loL+6QvjDYXlZNnrJOACEydYgNYTcVkHhHZ//fofd56MlT6O/n
VoCVL+N7+9L9+dCTX/jt0GN0lT02pGh1VmIGx8q30ZWmSdf8/fCC8Pz90HMoT+CLBFA4mHY/OSbs
XxydgVc6eCXoUlj/anaVy8ofDiUOI0en2NjilQR0Mdf+w7FXRjxW89FBIxR5tK/RQuKIvUKLOjLY
40J2VOsu5kGrdrpYuT2hppQpaTu9LF5bKbR0SrfndmgGrs6zPpos3UuNuNkMUqJJ0ef8WMo2dmOh
IE5zcWoi9zGW4g5Jf30zo/dAJrpo0X+cygVIgyLULPVjyMqKuJNzuUrRyK6ycT/k/VlUIO1lKEsr
2igauX1paQZpQPSnHiHK5ZD1yzZhZm5fCDyWAGCih7Ewa28CFAgaC2ErG9dLC6VrlpIXauyTiwZm
zRwvaGKTjZfOhLYLqngDLOe+bEPhKSrQs3A6t0kEluhraqR80dDbIhRTxnMbW0nNs7x64rQ5khRI
vdicd+PM1Zk3BUE6Lr2lFPQUG4VWSnwEmnNfb9kyLDjGAscpsWCPMsKIOthOM7n8iENMCofMW8cp
54IerZO6g82wTa2GMXLkcZSp5UbRVgQy601DkcyGZQvxpYCTW55mNMslLg4JACXCOd3JGuz7uAmj
oDaWJyvB4ZFM7MPQNUgtlEQh9GTp/FKzd327XrdzaW95aJ/NSKnxSijQ6bV7K25VgEFaSLjRvUpH
WzvmSLGzE902RyM+WMzuYnLOrQU6B1b0bWKPGDYa4Dj9mgY9SvCuHZyn2AJAMDQlK+Mq2WHPYZNS
VG+YKtnaSsFda9Rtjny8iChY+mWfLEjIRZG+tq3+TgDlfaoEmwwkaIkNghKO21GMBDqX3HjQzQxC
2uKgTyBiV4jZLDwPOeK2OcTb1okY/MC0BYtUwLXIWnbOp52jNIc+mEblOqmnr+6aTe3GFKTDBVP0
2iDG2szVhsIapmHSdi05vWkhyowD7t8wnL0mh/OqnV8AiN3Bm/DxzgZCJtF56/I+ctmLkwuM5ZjP
idKg/0YzZRkDiyogORtVCgN9jtijm/mNOwJCJeUlM1AYaq2LcOxUNssIDHmU8rmw4UY4CEJbXQoR
AFTEVpHihIBEdL6gV4ToFroUMHqUDDoShCehl4caqrIX9xOkpZV51GCCjsR6RQMI4Dwpj+hxfQrR
S+JCCL+WEoqFlpJzH+zRVrrqmvVJ7bXILjiLw8NsVcdZXr1GpBlXq74CbeZihmhTGEUd2BmhQ2VW
Mr+W2s5kSkWrMSM/XpUdo3e6PmtSDGov0vTQIRAlVYNGG/I2GIvwZZEqkrY0l6HUlUoEJi5Be8Jb
CnfS+EGJsvds4CNDlJP3NvJU5+LlknqVC9cSnFJ+B17yw5WiVjTzvtOlzlURujGganpKzRA9Rk15
oWizeamikCnEWo/ziNsVoGIa2O4a+rOU1IYwJMbZIrPF03g5tpmD/IMEl7vJbdzybjaNiGtGTsrL
CPmLA3EDhbqs1zCpLRJ1OmJAMa6bGq1Pb9rBF7ySF69N6ClSEiQwH7It6lO/anpjD+tklgJiRg6Z
m2tzXRj6eY7GKEJxF8oRVtXGs1AOtfq6zgmribZNIdeo7VPmmt0UWB3J1003pJgxRhL2/agXGupM
WMJbSEi1ulFs/JcR+o2cxCH993cC8If9Xzko+aJv9wH0apAaUIuFLLmzfpSymY+lgkxEx9ZBBX/3
FRniF1Rs8EfyqP6NxPT7EOzSSM+l08V6qduqcI1/dR/49A19jwhxH0DG5sLh8N2ROmJY/3lkHOu5
g0MZ61fdbAhUrvEwLUbjq2Tu2Uo1W4wKhNb75dHWwFh0kfHW6lhwEFl8U6Lm0hkSRN+S2OPp7JWi
vFRSBjmHTa/PZfw4s9ryMdcQhamG18Utv8QJj/civ8mMdFcu/ZmmazdNzfMvbRa2Z7XW4crRLsoC
kmOk2Pdd5lab3C16IHDhPQyoRxaJcIQqwrXWXFyZkX6lTlbgNtWZnTcUyKz6YR3DdjNkmrMZ43kH
DTvQnPoDVAieisg8K7n31Ev76iQLpKb1YQYu4mUan1wdmiS9E0VJSiDciBkPqF3HD5M6PGd8MKlP
iffaUJUe6ydckbGOvQLhkbYI/ZgVzVmeGeSl2/ajGWPVm5UK6TB3rhK8QxgomqvUHOuzuegxiyTI
33ZBg0UWt9HGFVF47KxK+GivK/OgsX5Q+JAdR8N+WxN+uXVYxNcaXDgv7tr3mMH0Mq3yg+kqqGFa
vezisnOuOuqgOCYm/mpcybyWXoFNVhDuZbaPKd5QrR34p8izWrB6xmxH1yLSVTbzaeQ1EfnvopT5
4mmqvKTQSSkuebrXdYY1JUm0XRpLvjPJKd2aubyh9wElpK5KnQkr5EaXbA1Rh1tjwnHRFr226yu9
CEo9vWBmPl/7lCS4euiXaPWTwvkIV7ZrqV0YgdIlur8MmJPU0KZnaojyQKSxwy9CXQK7bdxdn/Ik
T+eWEAG5ZISFFi8WNMwbLBvObqjNOKBlLCUzG4Y+11zW7rquXOeqa3jFyk/azJaFU0lYWydS+k26
TI63VFEdKDA2iT1lyZmJdryLtPhu0brTMIgyiBVngYdQv1Y5MLAktuC6Nq5xVrtokpEqueSr/BUl
Wvk8dWZ6XwIU9TqJYlgklEGb8WLlEtRgQtXyYglvSPi9Y/oibeJMbB/jyWBMteE9ZBL8ICQCYowK
ZS/6dDuYeRCGJXIzaEGvkOgICByFhzpPTjcFLNFKxIQlYRMr2Id0Hm6sqciC7pNIkWv5ESRxv4da
+dGX62uvjvG2r4kG5G7eXiYQCDf6bPl521jYx6bwwlLscYc1y7jRoGIkbtXjHfpkZcSf3IwEggaD
amCvCvUrMe1gnRM3OyVZ7lRlIsEA+2sjYHGUEsoxSTyHC6cDiy1hESDWEHijIJEwD8UQ+0TX70d0
7g3MnruiSc/stDxRyLBRFPuyM59DWzsfKmt8Yj/0Pln9xWwoilfiwPWdaZguBo7jvev2eNDobfKi
TFxovFpMingcjQ/6tDQuWfmlmCBhjK79sBJs8ZJ0dWS27Wtnd1IWKQ4VSgP1BBcgzKBDS7xZWTjV
LkukSW+MYZ8t1eyNUMIA6BeHssMIbne6uV0W/oRqU1wNSnSbz+GzqIYvtcHjAczCSJVJe55M6suc
WRYbNB24c1dFWxV/pgoJoMmMVib5ubiuXONzGuI6Z3ocEBZ9WzFOJKLYWRd2ecDKxn/ZC+4FGSU3
dV+dD6nYA3YsN5gGt6momqsE1BwNHykjzOz6GBzeO5LT5F0SH7ay9QVUT4Edq5xpiOnfKsM+lIP5
BM/RPCQFzRjt+gqFGtZyNe/5ofNtrGHHK9TVzy37GKc8ZdxKQdCfSNpDhhsrda801n6ZGj/VEPOU
ZLqWZXG51rHSSvLX3nH3dqkf1ajeKUazi2As8zfFeKHy/5svsZMkmy4ZPrrEPgFt70nXL4e+MOJg
oA5FMbJruLgKZwF5fX05j/v8unAVX03iuxzQf2zBPBlwgQ1FQsKl3wAlbbHadbZXLNhg4H4n+cYR
HRF1V9uw7n0PZc8N55iy7NCtOocFIfGryCpvREI3zn96yadeIuPOf383unxpk/LPWon8om93o3+M
TwtNB4fHJ07VuOb8qJXwJ4Kszk6BixB8sx8XBOwbYJcJHbszHZT/Kl2C8vJHrYQtBEqOQbWH5OAb
0pP9g5zOhGdalsKUpBfxQwMJhaaqpfTKuuGCtLJ9bKydyh7VXJTNOLsPRbVEnhggXBSudZc6xqVe
9QciikEzOiEdFHZRukEieYB4yFQyruI6UliN91MSuey+U+UVhjm3kPIzbmV/Rq/MzxSWzGN1MplV
yIyWkGmtarBuJ5nfcsaFzQLUn1lGu+I1Q8Kt7hZCX6zy7vXKHDwh82CinQ4WAbE4cc5Um9OW4FiL
TZpcNfbDVNzURMvwpj1oY0fWrGd0CYmfjXWbMQaVH4tMpsVE1FgEEuCUqTVTm69A/L4gPc6+Ocpk
GxE3mPYrcbSw27hE4CJBFq6uWJ4z69tYkRXCc9Nc4YZEaVUH3FyEMwZidusgiwQZikeZwGPQOYcn
/hjLaJ5hQ6HM2SAS2uvN4iFLYPy3xPlQrLejzPepSONFXX2w6vFHAoAu3iSP2eeijoqDWiwPGVFB
pRo/BGq+L5SFuiEw8eBYyAcrVDAwJGb7plNq0A8g3Akp+yEPvw0NC86VttTLZl2IqTLw5l7MYNm7
TOVVCpanEIsCdhsYdTmDiGCv/xYvNP/p6rLrQ57F3axS7KUdXEvfD0N7Feb0LOoiWS7jpm1qWEWg
Rna9mXOAUVJ10HuKozoTXkiGslPBPYlLKCYQJjPstxRQKsRiZj8t55fI4gbJvymj5sDmuOhNMcbw
WFdeBBuTTTsC8FHpUVQ7932RWXSHX2zA83DYakNsXeSTjjW0bG9jFrxHrS+qc1WLRjAvbuqv7bCP
x5kYlYU1Nh9t3ykKdVcqSY9W01hH3GA7jqkD5YQP1MbtxaA9TGNPCjjuhN93mnrUay29qEusHBEJ
jCA2ixVuV8oZPktAO05NPICqONazrl0nWmXvk2zcucgtyxSdFXhZ8YprL+ijps8CObkCoYAlnOD1
4hTboe8mn1tYjheufGXbtdXG5KmKALWTnQyimL9nmi/5FcMP967/1fcinwHf56dfcxlAHKgiIR/i
OtKq9OMzotbnMctZZ1zlBeU+X0lsTcXhh+fmX+z1/uIlEGotnf0DT0JgCz+/xFJHc5cmlnEF1mnI
Tkt9V7r/ze+/ze+sSP/+jOIzMXQvfz6kBF/17ZCiuto1haob2m9ou++CvvYLR4AA7oEJ7JOY+W2L
7f5C+Iv/CaOY6YifeMmy85hxn64e/tF/zUu25V//+xvwc4AXqmOocD7oRsIW9/O7A2ZQBEA/5N2x
1vZyWK2q0F/Zg/bhFXB2nR45hTKQvSOr5ZQhvl1k2VxmGTWy7wAuOcTYSFdOFpAiN/zOLMReTBl3
65nyuoEWOwzOPJ3ptYNFNvuFTplS20Hb+Cy/owUvlW14shavlgV5owMV3ZGleYnL5E/6MYSDlQFo
luV6sazZiy0qBGXxnmonj6NqXSc08lmymo9MdDmuu6QhyDnK8r6MFr8VC0pFqx8CpuklsuhPk5V/
riz/S2gBdNP22pK1gAPTBt4T7URHIUWDsjyQKoQSh2de0ULSfOg0DHJ69ptCsYN+eUd0NwleYIaW
pYR5UV7OmvFYlxEuJVlcaNCKumEzAlSqVuneq1iUrA54MnWcz8GapIFGCyLVrtuhGs9V2hFVWhI7
2hI7vQtatrFMYHRDkyTkMay/91w/swmrDako1JSLkuvpCmqIAGoIWdOmu48rrCPvsnle7wsut3OV
3uVcdvu+vGbtfh5zCYa9LskrxfXIn3SQ92QxJ2256xXV2TpWfaaaxWvZxTjW7PCCOeyCPg1qfZlB
rTOWTe21OjOjP+MVjrSg06uovCavvtS7Qsb5I5GJJ0ihkuYwZm8k/RnoWAsn2vAG1XqL1yHaTA7/
czJM70zn3SaF6ewV47zvl/holEAi2PwA0ujjj4lQPSnU5QvJurt+na/VUX3WWyqjq/VLMrLCtMxO
D+zI+Jpo89kkouU5j5vMg9NGz5HOQkfmtEyB/clsrykb2NtQAi5o/7lbEn4s8K54GSPnKpwJPpCa
xE5k+kPcc5Jmlhv01iL2q/2hppVBdUb/MPb0JhS1ofk5PR5ZRLO2qeBxhunP4Q3IDbb0Rqnityhr
VnhLCySECYNlukDSUrovCRWlFR8bDnTqjOkxYabtVlxmJHFVOgLmyQjx2imnJVSe2l5AFNdVZqP0
3gzjiBYUzcZliMeLWiWo//vczqi57quzEvXWi+loGRrHxIuQfXRxf1UXxsvYMZTnXL6yJT3iujuv
pTuDdcx5SaGMxzVm3KSYs9o4od6xH6ddM1MW0Mfc4DQ3fykz5wsMs6DIzYPooi96pte3q2KxnpLk
Lkyc97YS385YRun4fGpiIznUsXtY5+Y8jJz6nFbRJwtWJhVkt4plHWLduVLc7joW1nttrMeiaHFz
895cLXDVtVoOPjb8mxEHdkaFRTQkuzaN3SCbgeDx6bGeu7E7xFo63IQOzCE6I7doVOeWLLv+b/z6
HL8ANP/D0Xb53r69f/3z0Sa/6tvRxq7axE71Q07/265a/QVElUX3FytiFGhQWd8NWn8Mtn4zaFm/
sKjW8XTpusHm6d9p04jjfzzaqGpkm8ubymUS5Dj9+WjTFW2igCXLrlRh9O2Z2ye1IAZaGMqjg2WF
677VkhQbmrS5VtkDD1pxWNtiPx8OIkRcLuXOhpKc3nmgaIYmrmS845xvz8UMOe0pjNLZs/oyIzFm
aBsKLq64H6e+maI115rJ83MqbqpsuZoVkkKurb2gW5ikfrLzWqwnGkjogA/bBwAuu9qsVvJ/xOfF
9NWq7ZtaB9NDx0a9j2bQFqRAOU9cUNbpx1i1GkGswvJ6VVhBTSfsfRgVJ8XQ0cbE0m8ybMpOFV5P
BYQRiwqrfUS7O00zzn60ZHo/A/1uaV8MGgu8qYIgz6YHKF/VjAEX43RP6VgeuK3tYL4NraBo4qcB
/6xfmjVAuwzP51oLlohxmXtU8iqs6Kw+3jMC4FxvaqZDT4MlAkdSyfcA+CU4J6WGWVXzc9GU0Q0m
8/nRGtvIq2zu82ATzSvYCNoGgqZ6hHZ/1syGdorLikqkjtiw1dg9jVNpt40r2l9Y8/HSWuo8hm7T
7+lxWJlHedIvo4qLc87I0adqyz6Trqlzp25xFxT0zgIXQ0hOzgxbsXDFZ52SbTUibeNiZ+qr2uiG
P+B9s5sUUAgr9CF0Ur9niopL/OhGtG4FJ6eRughYn4Ke3mbveYXDuMsuKiEin5ThLqeld2ObJjYt
5bJTNN5IReKbBMfmuDyrtfaLpmQX6YRvutFIIkfxFPSx82bUzYn4EQawmWtG3NvZyUyXhF0dO+D0
WJhxul6qJp33IpuCrJa+IgM3e7bEh6FgrTyHrBagLTlBsUZv6zwlXojGTlaaXUvFEsEz3TLeGK35
xpq6ZflIqmnW+s7X4zkYVAqLi+UeAuLsL31p+sy2KeXRte6FDHc9urDvCLPaKxEFLsLhgpHwX6b8
u7HqBvZCg04mpP/XdDOqyegsWDA7+WIWR9ucRJC1Jnp3nXVnQvTnVjJzvTFzLUjyjrOj0J6tWUUT
XqrbyWY56S6TuwlLpLgmA0ebcK5JPj0bVPu9CKOveUWKlU/Xpk8XbM1KeqIeceI9oAWqQAxAMaYD
TQUyV1aTu3V46wvViPxSwDT3Q7OPEk/5TPAmKZaRs7Lrq7v/zo/P8wMn0T+cH/57/n/Hqv3L9SZf
+O0IAXPI6CGomfq1iOAHu5PBplJDVYOO9ivq5fcjRFb0CsHkxMiMWKdJH+tv601D/QWcApM0m1Id
DiLH1b/w+P48OcNqBAvDHhX+IoKhYfzR49uHQ9rla6mdStRskSUXdpRt9HH59Yrxt0Zf7XPI+j6E
8ZPAd5DhIozJtK/S0PjzSUUvY8ZyJ5tOKAXZAZCsYwTmOpwVCR+zioQ2MTYbybqvrtxluGiy+t7W
WlrLSFRseMj3fLDU7HxsTehkQBM2+tLzzjZJgYZT+wSvod4UTsyQILeScZff1rzgRqvzUyWgmqp2
SZ9UozW+Q5vXRmehxsaLvDLoJpd97KZUu9V3TYtNXlZuoTVuET17fwAUAzpg5gprPBJ9v3SNAReq
qj/FRl4hapq3+ClulGI+Kop57CUWQEyo/LT6Hlp3PE5hEdFjonJ+ObknonH0NXkJHcb+2lTW7WQM
j67TvvNQfI6K5UsrXUXZYDPhLMnJbMNzyy6SLcCgveWG7a6L0Rr1tr2vrGifOAYJ9jg+56bxWk5x
th0L8pvWCFgmr+baVwDqeTm+DsKZ67NaFLJBJr0yHDh30oSsoJI2VvY82Op920XEHHGWEsy+sZth
R6MRpyo6UY9jh29UJ+JLDSsoRvNWWep8U/SNs7HdZ7fH0KPPPqRzCloGIyOOLHyHEZ+/X7rDyvPh
LFirhGVeKuPAFbtkfdwwqKr2ctQmuGULk/EEMn1LPPJEb1u6hVe8WwvjMoog2vWqsXNHfrfxxGNS
sczRrxv3mRqkPYv2G8Bsi0+k/yGxSNNEdHh5ep/fdtNwUM1s9FtdvAmC5140LQ95kpi7WV+vtJk4
TBengBzW9quaa1+1KWcAndU9UuGBvBzhWQKm7NmvC0iWs11ZF7a+EtTMy7c1rZ9iuwO8ZlV3zIGp
bzR2tp8GfcdyGeU0lHw42sR4ixHRMSbwlqArX4CRRO12dRSAe6Y1gy4Qc5ZwrGst/XXGBC0aFPpW
dTjZYAHOZ3lukg9Z4IFLt66hf52Ee0hMdTuuuKrofK7Hh8zU5WYPuiXktkSOd7Oa+FmqHXRsQSpL
8l56xpzmBTXjRs2Ud+irqOBMKBXvRna5I51QXU8eaPKrCY6IUphspafxwmkRBxQWuyYRZTZzYyIb
PqYvVmp3wRzVl1Eiwk1Xzygosr6vuwDW7Y99t5+m/ol2Ws5sEuxjKmg5rC4zi4+sXmYnZqrzXFEO
a84SHv58HACVwC4xJl+tic5ZGCM60H71hj7N3Vz17xk6x2bm6lJa9dPUBoT2DjF31axX9otlv8yp
eF7NhWtJTpnekj/nxu04deyYh7Mai3euMGeX7Ubb4t+KXQPnNS26EySYUcNUrsbM62s97nQ77bdC
xeUQjcZzaahctqrJD5UW8uZU7wa1vFqq6UtbgVZNFuOh74VzWSv0t97JiqbIMdpwT6ZAzf/XY/Tn
XKV8inJcSMQO3lgUN7kq+lFL7boOa/RiLadp2diesQvP5tvqEqyfp7yUj1xBD2wUvfCcWXzw053+
P3TWn8eN315eCq0mlhOT/erPL9+GYCsUa1hPo/1ShwdX9OAon4HueD8cpH+h5/7V67CE+IyyWAbi
4M+v4/acWVyc1pOaXFBh7uX5uxsdKG35H6/z8+n368/D75MzUCV0QJDv59dpMCyabFXEyTLPW+uK
gYT37+M//yzGX/3Nfvxh/vAiQyxEpwHfOo3b7oHLYzDuxVcHy71XXRa8x7ybNsAns9X290fHz73j
eJlsH7ogDK7Ts8nbUzB20fv8h3615f+Ch3/+/jT5y/z5ZNY02T9k66wDcV//4fvLqYJG1BLqCTPR
MbwWgbhUH6MzFghY+/zFO/ui7ubNsdlOe9PcFOfIfNe4LLYA0zaf38p/+C35Bv57jT3I/8+vWjLf
f9Yi5Bf+fpGENChbZcBfIzvgheMG9YMWQRO2ABmoAejiovldi3ApqyFc5qISyGukdLv/7pOTlnqp
HcCWlD78f+ebJ3r+0/sImd3h3+HJJAxCtAb/7h8+TFE4m4o6kvk2qodJhj5H0p8KV1/PTrv2RFE5
0VAOyyfTqHu2UwChehtmklPgU+uUsTxbI/xt2cozmhqPRwyytt+ijG5qFuDb1cASVshKYS5F7aY3
hopgljtuGhlmTUm1QpyhqnB2YgRF+94l+cqpAjp5Jc1sk4rlgRDtW3KyfTI/hhPi3pjWt20VkzaG
vrpXRfQG0fVu1sU5fqdjJWLClTKIK9pU3S4m4IealG4+JbtFxnZB/J/jrf4S9tpZb9UdVc/DraDV
YRuRfdoME4EhTGCvFvWH+15Gg1tqpWHwz+9WZb2Tv0t9bFDU15Aodmf9qdQqhuchB01F6lgb42vW
qNWBb/PNLakIMXHM6KO9gXhcVQ8zgmvAo2eXqfD7TGB9uFq2UYX7I8QHvJrFu5WrwSzBflVe70BL
fLXb6WaysmhPlyHxoNGkPAUohJ8mihUMynxlx5MO4kV7SMAIjpInyM4N+qvqUE4gaYMp2MF8nA66
1T9TZEyTq05KDLDT1SpZhY5YHpwc09Vp7ijjqvt5xbPDkehesGj8WIcYiDC+dWJTA83fFGN4VBrM
uyIhvdAkqXuomyW+1jPtHv8KEWGp7WighNco07+swvZqYMPucDdYeXRE9a/PVlG01NIq2R6NKZhY
06u4trlkOEzF2Pe9TCQP0taPFWtwPF3BSqxHtNfXVs1Ovuo5PpXqFKUhMFf0E+ggd1TYo/ikBOsH
BqPcOjOGkl8xJZW0szzWZvLVZnEeKsCVS7WBrdL2hWcrw4tRdJi3Df0LqKRnrtfALCN7t7gGEkWc
7jVBKMCuOn8e1q2i6TSerM52KTOKUmwMDtmFFdqguRWmlWW5LdbyQ6ABBMhjlmeZ8IPrLKJ4SEnf
VEt5MjXcVfF8k8f9xTIqd2RFnnuOS4YEl7yxct7M7VHo4f1cpufLRMtTE2oPUcHWIG7Du3C2zxEW
SL1rkbHVa+6tmeMeSw3ynT3dW0JdvTzKUxQIrtRUrL+CkruZ2vQY1e1WCyUWwR6vJtW40Rd+liJM
gMqoB2r5NrRTnUUACQZrOq8V8zVa+gc5rkSliWPTlHT5vd4WXi1IkGfd8mQOjrNLIwKRWcIeiMcc
+/BGwfEqbWXhPNLsmbRPbVec6e54menaAQDVw1BigRzpZZYAk0ON/LLhDYsZVMlvcEy+IvRhr8py
+p0sZ6fRQxzggXKCsMcoQX8qqpHLlskgVpLWRUq5d72ZOyLrGk4B+cTlKaXScGSMp2pgAtGaXmyH
cbmOBGF9lbWL4FfAM+laX6zLdHDf2IXLlYd1j2R7qRsN5UMDDr8R7civ5COupTpojMSt5pbb3I4J
dtQdCB3sua5q5vuCNISa96Rbit7aWLzfhjW6ReJ9tQs2X5HmXNLmF+6iSFG2zO83iJEt1lTI4otm
v2p0vgcqFWGeYdXBotPOXiTkT3mSbjNcZG2/hrdps4LmadW7MhlLwKx28lbHytGiXzqghQ6SafKI
TYJ6lHhfmM7HyhU46An8YM8U2GVRQDdJZ5LIZG4uHgt8yNHlqkWgoKyxCijRPTed9s6VGfRWptHX
tXqGX+YStBl1OgvXp3AkjW6P3avVK2CNh/ZkJPkxJuauE3efib2rMv8O3e0sXzU6now8GHrzmrj7
5eAq1LvK9HxKjN4hTi8UalJbmbA3p1Bwkx/udML3SUg3LmH8VKbyM8C7fDfrkysD+83yUJjTdT2l
J94P/BKI9hdE/OFHCngXGH1HUe7IfA0MMP1tCRhAtZD1AAUYYr4vNdcLAQhYgARq1yipgOVTLRkD
dm4xlknuAEwcDSMlLIJSwCvgGQuVrN6X4ApayS2wi47HjgUTVjINTEk3AHEA56BOD6skHygZre6f
LARJRcAMrh2wcCY+YLAhqCQ9IRMt62lJVIjg4eNBT3+9JP93KzO5Qf39rewOc17SL3++k8kv+/1O
psk+aJ6CKGdkBaka/X/2zms5citruk90FPDmtoDyZLHozQ2CFt4ceODpv4Xuv6VuaTQT+q8VoRjF
SCKL7EIBZ+/MXPnTmUz/jWYThCN1mdV+P5At67tFLSLWgOhIK8Ifmz3d/Y1/ztrvD0vEP9js2d92
d38c7DmQGWz26EjRXP7Gj8Ir/TwsClbslpRNfi7UyjAuYXbQtwR3RaFLR58GLt9x7HsH7nH1Lvv8
ZV76fVBqbvEbcci336aenUVFFVDNTVIu3UCtY2Z+Z9gnpYXZLBIahMpqpEtoaRWCIx9ttMoimlyF
bMPoHup72KRJUF41U/shln4i0x0+jKWxiDpTr3PxGZdOfByXViPdTS4F8gBJItMvl+YjJv/eb5c2
JHuqP0gKAGHp6rcea9Wcp9NWoUJJUKUUDa1K23W4s+32VMwpz5OldMmUw/NA517WTpmX0Mukm+1T
SDBoi4XP2ZJztK5CUCncrdx21S3VTiodT/ZS9tSYeN5wMlxj6b8qDfic0azdMkWy4uji61FTDrli
fhptvtXr4bUxQPFp7B5qIbyRpHfNHYMY7C5X6qdOj/flSF66SMOnsrGe3ORNH0qfk/R747rvtdZc
1XP8aJbje2o4uU9jzuxjrTwLflh4hcMuj2LIYy1sxZmV3mZK41uebaeuEqdZl4GHx05jg4Sh35RO
DkmoobJahSE6KMZZmKBoMYOEK44HNnEv9ZhEVrhNRGdtZJhhseuUtdOM91YjGPxkjZTXHpySdKFC
M101Ga43pdLZ11Whbad22Dp9AlFsqR2opsxhwxfVfqLgX7H6YFybHdwbKAuRZ0/arsaeEjj2Jou7
s6V04CQKZkvhym1NGnWEb4UlPd1rJkvgsR3g6A0zJ3KlJq9m1l6tYX/jgxZ4Ax4SxVZOEW/FAj16
S0R9Q3f3mUKbfZjYpF20ZGsk5X1OTsxVR/KTs3XfJhLhJXxo2CGBcRf0lCBXmR084F66EWya+QmE
YsWDtToEdvUouq7xs2a4Fy51aXxptp4zIdd6n95OQpvWHAp48qvlV07rnheX1SWU/qvUYMHYToTu
nBLT/dgP69EBemAPwM5FUjugaWLNC1J3N7SQdFKyrq9tQDG00lQByVcEIj1NHruUJ0h8r7eA4hxq
fdZ81ghS9jSutSiEKDiQAoe62o0qkVO9VI5TNVwa0BX9PCEiMgtxzQE7Wk+FnH1bo9GvAJU3iRFE
sI5naQxnWnTK13SUynKt3Rr6QUy0cckcrai+KVnsQVFN/Ciy1w7THCPmF+sagMS28VXPyrPbuBfK
kJ0qjqjLSLoiyx+BbmdemnKAmnjKMoNzfzztnXLm7OwuKFaAllx7ycppDK92pi+tqV/wrB+Hsr3O
KnEJEBFIUtH6M49njnijpyo9JpViQKLuoC10bkQJfNt+wY9nqBiJUmej/RrL+oWJFBMpqNGVVo6S
gLBjHVqyMivOKA6QV+OJuy4a6wTiqc+s9xbHGGYULQbL6Ryp6SYD1XTdJpr7A/TF3mMbe2NF4ytl
JPTgGKmxaWWTrasQ52ZjyJ1FTa/kDOu10Xjbwmb2xqRYZ2M0+DJFzywKs+ZDV/KRcKzLDF13XY4B
lWQcvY0uGD2bLASS41VZubduYOz0cXKoAORM1E0ZON3qFIaq3ID4y57qAedOwDJWQIXzSH3zwTaT
RzZ1oBj7AZ61OxgeoZy3sSgpwzFieIfFgRv6zWSU/U4qOQBkrbvm8MWBhP1wb3LYBpW5ZC10SFzs
sAMHvFUAMTaV2UUT9dcxaXEE6Bwog07Mt6zVdRFmfG3f35pW4uzmonuDDLVk0mpiPAWgKyuRwgtn
8YXgxfMiquOt44rrYirfLJ3PtsxQ3I0cvCewDRiXwVycFMJCq7qUTyq5Wa9FmCCXQAwcEysLOQe3
csk9mw5qZZPECrbatnzr3PixJLLrkdrcTG3IGp23HPQWJrkBCYedLTAOQoL8mcI73aMm7NzQyMFw
kuzG8Y2qb/T30ZReDzwTkVeZb2MTDplpm2gqghBZ5yyWiYR/5mR9fFGJefAR+S8nwaKQ4lCSs8ow
rERq3ZvttK2pHTDLhShVfY7LuAzV5smiOZPhUHDpdcUFdkeJTDxfYonk7EsshyXvHvtbTbOBtrTc
K+UTTvFs38zyXtf44GeF/igm46qN249BZhs3SO552CtH4NQUaKIyNXF4Zcfyjmz2Thc4pGz8yKus
gwk8GbggTH1lF8x4ZU97Ef1cCFC2/R5jL/fzuqTssazmzVQ6N2qQy7VJVyeombEgNYw0R3dBsFfq
6dUSXAxt1GsbHNJ35OAReQJxiMPwtWZyxWKJyJFU21KWfL1dneETqCuUunAtVPO9SkYDJ3L8bCjk
txJpnZXOeigNaxtU2bibQ/0rUehi1XtiV5pWR/T9FtHGIs3NREF7g1JOXH6J2q7UeGK2ndVni/Qk
Kka8BjGTr8iK0Xg04VNMQAdSNJi8KrQwpBRJem0cJJ7sq2PcZ/xRt/WWXoUO0ruZeJ2S7pIQlTF2
cI4rLQUwUgsKD+JZtia2+gH+YVxJB9GmV3UFsCgSXqlMNKPOy13VeqSjidN3GLAdleIuqod7qmLZ
lsSuVw4Z8SuV1WrntAhTpfQ1I7ptLbh2Qdbuu7BrvFxx742iO4cZXgC9aReXPk4xafF50mmNG0OK
MLS02AtOTnwgEwXIdPOGa/88ajzP+dPiEQJshRpXABHx5wAJRlTWl6XQAqc7PATyBfLgpl92k0e+
lmnv/VQfXZ7kq8k235ve3kqnq/0iVA9BoRe+O5PkHK30MczzxmOJoHlOZ3kQ5yiSe8MWccHBwCBh
R8BJ7ZJDZdYqTKIkOWlxSe9Pzb9z0ucQgXYFRPROpapxVXXixib4sdLycm+4w+PImYty3blatVVZ
rGVL9Gsy6R3LU8mvAyGBZtnaWFM+dnQkncTOtDS9USvC5+7L0mxKS3BRrNkMbZS+e6pYZ7HXUK+z
kB0i18KlbsXwVc2EuFZa3Vox7xHaNMmQaOQ+XeNnNepiU1sGbcvtO31c4C/i9lGOEfegTrmfs/gw
TtmdZojcHxpuqbby1vcESBxaglZuayOXZd1F1dSbQhmdlTI1iCIVYfjWSj5dzsZkDdgGjMXnnNeH
2UUOC+t5r2nFE9xanyj9fdVjf2045dkpt75IcmVGYDu2Jd1+vuzsrTLWX1bEkc4ux2c958zHvAcK
P3lCJ94HZDmjtHgNnPQtaTts/KAd4lb1QwrEgr7gSanL3SRtrDlsA82l2UWWt5Sf7irD3bum8KWS
nNtZ96ZYBbqgRzSdZeu47i+ANu27mD4XE4LioUlUEAShraXXWTFbT1MZW85JCrqirjOzJco3sfjp
zEoc/lUGvltMmBj/fgbdkD0s/pMswFf9GEFVCoMslu94QnDMK0tX5u+yADgdrIFs/i2F/2IBxf1h
UeT/Y7BXv1lIvikGP2QB87eFsgMNFuTbIo79o/i8/Vf3vasRUYNGa6sm6tKCv/t5Ck1zwsVjG9gn
3MeHsJV9cdkOlEd6Sd5XFda3uJu3ztBwG4zycHwo3YgmoNItlo7bJHoe9eY2j+TkR00Bt6nttpIy
ALRg1HHu736pZvRjLBMVdi+WRSYFEqKRfjGbJwACdGxn4rnEpkhc/nHoKD68bsmr3xJl3rnDyKMq
IDXJNilUYnGiLt6B79XLNWUi4TOw/egcBFFsnaOMrm6zcBD8DRzqOs9zziE+xHKluLNsoW8CdmXD
miBT0F5J0UTxQ8cyuAd+OjymmhsBB0jLXRwlycQauL4cEuMwdOaNGULXDuziQZmzO45udB9E1bu2
0HysqHvLqSvm0JswpepvUZEQ6hIGxcsagJ7xoQPL5umIEoL6ApHzjA4XiI1RVapPfRkx6wIINJ3v
SzO2g1chBSti3qbOQEVwhblfxB+aa9/lnfGpGKTnmpw/FNNpr22dcZ2KA0nBwsBjJ6zSF56uzNZD
vFNmfAJysXvkmXMnM1XblAUE80JvBccAbRfRpVTA+/fzId7rEU9WM49sQsk2VkglLdYaldcsr6aD
XmlL917uzXpErs/QdhhKVU9zUiJMTFN7/I4YVTrlQ6FO3OkoXhSBGQCIaeiMcF/DqDxarn1sdHIH
sUPyWZ/dWwqFqeaLms0YiA/TnTeZMu4pbDqFNbMb7AO/qsHD5wVH6SaovtoSd4AV45PsRP4+RO7o
91PxxCXdYhDv7Z21yE9cXteGKpf6kPLUmiS0jDk4Zy5WnhCcKQ3pHNzZAHRsdVfctSn2NvvG43qj
0rF86hKNeoywPbS8gy3xMiqWKdM2cW5aiizXUNr2OVHFUZqPatOe8PPeUdmXekDRHvIwuqFYNPYr
pduqoSX2LA71VR/VN5Md3BHevp5lx0dEjSt/Ujlru3E8+WodnLtg3k0Avff6KN5rKTguGLhcJ5NF
6awymw0d5fSh2WwdW4FnaEzzoazsq4QO103pUDRSdYXu5T20OmkMFzCWPjKejHFH20ndxJdWUtWr
WLGPU0loW3GzjDYuSZ2UkfuGmrzWSjVsJre9cmvjqReR4vFR71fJlFte1Olf+bT0g1YlnYQVBaU2
oQ+Jc9ge55VR0PHepv29NszFThhcncEiKzRZ/JlN2syC1n4yB/NWw0ez78sU51Ot7ZEqdV93nIuo
B/5gQUZlkDeMzSCTqzi0qCtLb/KM9peIa3uIbODSSbqOcxd3aiE3VoamNVQD7qiawgxZWHeDulSk
1MpXoBkvip69k7Hdy0Fn1xy2SzGm9kkBwMO3utQ8zx/yodXWmtvdThN9HLGVP5eTcTTpDoJ/Ryii
MQ62MVrXeuJUNukbTpRTJFkMkVHUTAquFnZzZ8pLS4ztek5R+Pr5rda1Z+m4+s5VyFZUrn2eu77w
Hby1vlEDb4C6xlgQTe/gX5u9Yre31KmS7q6UjPoBOnk7O0241+ovlWXcwrR0vCFyYD91weDXHTam
pKoKaMDKqYf/tMZZ9NnPE+FbE3Uj0Xq/DwggpmlBn4cwqDDqJNEWBdUQRsM79q7cUxvazZRgME/x
iBu2b+SI7U6LfF2TN0PBEn1yoH6pc79O42LkfaLJNdQnP8YLjNk2qi7xGO+nPHjJi5FIFVzINUML
Rak6V2tVJ++WXaAEBsm8NotgExr6tLOKWu7LytikIMJ8CpGyjeMsS4gmnrcseF5qx9wUtSBfH2xL
ZKPrSMQW9m8Qi1Mz0LbR5pSjCkzxCG3BtVVo1caW6l6G+kVix3DN8sTZotUC5YYXQ7fyNB2irvtI
OT9toqrVDxowfOKwAKTSMSx2UQFWch5y3pthEhtzKR0SDEdUJQMvMtt+r+cEm1TVIUdj9scwcw+B
Ox9FPGNDVtHYghTqWB74AF1uHWFbF3OD2ggMcnEQTueqi+4KDfMbzUrZptLRArpI1F6it++WzEGA
WIazHR3Gm0kNWw8G88hmLjq3MZ7PYFb8tIz7bVXNR/JwF1C8fTI9574mZaIny3oInZwmofrkmsm7
A+IuawI2FLaLVEpfFQh0E2SyM60DK8T6NLMoVZThQe3S1zIVZ/YetynIbo/UprVOapU2dqP6zIgb
hZQtb1rdICwXG3xL6CD+kCnPVYwC2HfxKXA78GusgHw2kjR4BOmxcAjfJWMSPsgog7wdPFsIeoxE
6drO8i9wKs+mLmj5a0/VN0dem78HpuauVRd7nJtnD7Rv4TeN8dtprMlmpVJ8kcWXagXutSzTY1Zz
EjF4ppqi5wamqp+j00BPCC6cYMq3BJIPpMRcdjzsY83iMZ/q07is16yJlVRNXJc39CAb9UhK+UNU
ztcwImFaqPiFFFSOJJ8YUDdNV7bbhrbdhkmPfIJ4oIT8Yg6POSXZdWdDI0sXbOVb1HDz7YUCd8Lm
JI4B3qS6ymssZolmQD1MeXvojkW7bI7jzPUcBxrSrGZ86hRqrbDi3sZJyH/MDbzPIT3UxOANOvQ8
OIvxlpPbCyewPeuAjeSkg2/SOsxmmXtdFV9ZklIpBjVV55vTj7oaguSY4pzY6nn7bsAtDGnE8SrI
YAptXsshhlw+ofYi3JoR9TmTo59wN97XA4DOqqHjb9nwV7F7MaEe+6xDbjpBdM5OTBVnar6FqoE2
qiVrSx2A8uoVMDGaGDeggJioZ0ymeo0s3ssFY1uQl1zaqJwsXotCX04P9d7Wo8MwJV+RatJ6PjhX
k5psy3nbuHDznW09Fb5Kw7dI76KM7aIwjNzDir0FGQorn2ajUp/fdGfYWEP45ljxhaGRHReBEvFm
yVdw7tBOtCExeRD39ZGPz124ZGfQEB/UCkysRQ6/qdfOTg+znQZ/qG9TP3D06rr4lsahCcQC54Z6
Ix6jviwVduBFUx/wnQ453ouhd/pNmfViup54dwraQIRvBDgYw9keYp8uoEMJ0Z5uO8GnTdTb2YWF
WpdiI+yE1GpKW1NslL6Rp50f9OUThI95XTi9RIMO1XWmJfd6XdwOtDBt2P59yaR+pA3KZO2m8psi
r5B62ke28VoV43mM6X2ObGbUKKaInXNX46WpgcAwsOGBAkD57VJ7RywCsCuPNN6/5b3jbN65pCXd
6ELWtGRmoJLH1j71LdVanX0BdctdUV7+qlK23LjGhTpPnG7K6o1nC9SpbKnec+6bODZY5SqflI0X
2zlR4EOCbGUffoagGXHII5bIKLHiXDP4VlB81EO+02EPe8CX5o1srAv0mxst7ddFyx7EzMthx333
wh2w6k4mDzuYRruu5xOdaLygWWPTM+gxb1Ssww2oKdhP20rjtOuq6UsqY3r+rtIq5Q4wrYZR35s1
pCPX6U+iKSQ2mfYqN5MP+FnY9hiZhyk+laFyMunUzIr+ZGhXFnYRMUu/rkV46JXyMR3CfRvFz6z4
7yu3xKo6o8nU29Gyb3HmEvTIT5PUXuJK3bmN4M6Yh/t5suc9KtwLP+A9EpHl25wF11FbxUfuCi9G
XvaP+QyqoJTJcYxS6KQoN96Uz5dDP4FstFS2JgreWfagQ/GaVg4YUlYY+eQ+Z2Z5EevRYz7gw/l3
oP8+0DPf/v1Av80+i/+AfFngLT/meU39DWWPbDxxdVi3v0jK2m90axr8RWhDwwf4xzyPN1AhFvS7
z+8XVRlKDN+L/8Hlihj9T/IiqrWoxn9SlTnbWHxPxwH4wrf7ZZ5nkWxrY+e4V1oOQpnb9lxt628J
aV1Q6rQ2I2KCL/hm6mv9W546X6LVMxlrK3Ev6oLUVJWnbylml4nDQq+1yJmGgbuh0rNxSZPP+2LU
5brr3WvG1C/IS9QE1pRwdNpWIH+ETcysIrcKuCSn4PlSiZ2IszezhtNlJ+VFmAzX6UJastraZ97b
2QqtsYy7AMUGD1oX5AswTajnJ40TUAzChBEAklOnTDsaJ2EjCfUtAfY0yt7c1479BKyK4OTwzv3w
ElU4MxfgmPW88E3ahR6F8eyznhw/XbhSiQthilSvvEKK22BLLzytV3cSHBUoDGqkFkJVqosaIAD7
O0WnbQzwt0LB/PzIxuDSWThXw0K8qhf2lcZKIDIgy+lIv/XCx1LrEBQ9yCwHdBY+yR4Ut805EqxW
Dl6LPSyn/vJqXLhbIg/MTb6wuGAP7oeFzuXGoJ5UHP6+Mhg97CwoXtXC82L2zT2IP1j4p+vcTPcN
OF+ANsnHlOMUUBYuWF0GGPxwxesh9YVaR0OJqn61mjioQMWGdrpIFspYsPDG+m/ksYVBhniU+NPC
JRsBlM2AynJRDE+8n8fWfJlz69KgFxosKYCr5EDvyO2wEM9qQAuNjxFeRhdCKzoeY3GKblRl5FOB
h7apK09jaNr7rGEZTXtytI0dh1gE8AX3koRmdLDTst9SB8Mmk2tAWaNAVFtKkt3bANaXC7JoUYpl
yTqgNydji4XMyGh6H8OtCqsH80FRaxd2lnWEai1nR5OP8vTv7fDb7VCDGPX3t8PL8qN8/6vDZvmi
H7dDXM/ucusiaU3ggTaDn9ab6m9Lb4TOghOwzbeM3P9bb2KygQdjuORP2XrqNvabP9JzqqNzb9Vp
wnIoMf5HACxjSa39ejM0WLCyLVU1vtf31NtP/CtZSqN1oiQ6S+pUnJ1MB07ipn2lUnFEYjQUgZgJ
sZYDiIeumhXXb2IbNP/UYl/YOEqutreDpYbu18CUUXOGDV6rNE+UNQ/jTBz5pZvgoAKVU9eIqiI8
Q+mnAZEtTITGo3bciinZNZEpvKxxA3JlzMULQG9CePQIBrugGeuJngYGiFhGO5sUBYU9icmabLRr
cyfDmnROkSMmWnLI6itsdp0ErDuhxoXokTQGOZavzG0nPk2IQdt/L/1vl75KEOTvL31YK+AwP9q/
Xv3L1/24+jX9t2V5v8Bwvtdn/3T1GwB0MJex1tYXtg17/z+u/qX9DbaOTnQGWsZPlz88A4WuEZKY
PySBf2Ax+7Pj38BVRnv3QpQjxop/4tejAPaKASuzOZw75QBHK5luyub71fG3wdHvCdQ/PmJLRkeB
YQcsAX65RVKHG8DP+oGKrTNJ0qY66wM5zWZlmA3JrEjXCv0cKbXk0VdaY3o9f9OiIiwrTzwcUahI
cdPSjfFBO2hW5TUoWTIaaXhE1aWpYl6krm7RvKbsHKCBZaXYT2hiAm2sVQipTahl86Kaxc0umPDG
ROhpeAZV30RhE9VwJVDcsil9FShwXVXtoUo+4bxhko2jq7Bt1o6W7e1FuFNR8Bjrt9Ui6WU8rLfx
IvMJMmKrFuUPbRqCHFog3V5Sbzx+vafQUvbKohfqagUroPjkEx7hgzbwxOefwaIxOnlFV92iO0oE
SEAvF3Q1Dr5TLF5Yqigx7ChvI7IlDLGcvW5x16shVSnafb0onBpSZ7pontE0vDeIoNOihsqkuiwW
fdSVIPDMRTMNyvoWvyQWcIM2txBhNV8U1rbRr9GsQ4533ZNI9M28qLEcXWGvau1Xsii1DrwyYAMl
CWPjaC9qLn0wMaXoKLyWAmaXtVmId6aj57jSsFX1DvW71fyoIhLrvJ2rEtnYHLC+5Vp2N+QuCHOk
ZbFozNpQ7V3aUU9ZO6geCYBDI2Iq+VSJuQeROmzfdbrfXaTrOB80zxgly4mseAwWfTuQDrtWJO96
0b5bRPAZMbyKF0Ic8nhnG+9Og17uJPGXsyjooYGWLlv3jnjHlxEPnoLYHkv24yrye7To8OroeCXC
fI9Ary5KfW2giBAp3kOuYxmOnB87SzZEJyloLFq/IRSXmtHujKf5vl/8AAJjQKRHuBGxCkAqkH5p
hx1NNjjXDeibPYe/eTmYuE5yq+FVwg3ONsDtH1OFYTWerK+EfnVTTb/hPfSNDixihakzvSxy/A+0
BEHwM5X7cJK3hWFWtNrpV2Fm235URhS4jONLn2RcPYOEpT/w54En8jm1gjur5+jaJ8WnoQ7Wpq+V
+zTMGNGhvI/CiXG1t6xuxVcrnGeowNiZU0yAOnZEH3CDO0PEtUpt3epTuq++JSRphJUBeD3UGqLW
8s4MB+B3VspV7mbpfaro7t6cx+SMfehOSo3jV/XJ02ofp1VGUUL1AQEFRYb9LO5wFsnpADwLu9Wj
YbR+ZgUZy7IHqJLjdqLY/SKHshcLcVN3ibscsjMJ9xUfjN/T0CBs0JS1W5Vek5nmim2mF+oV6VP9
0gD8xRgiGEHoVOazufQBnJrSfooc8zNWMJ1xW5MIQuomzyqo2tORSe5VjBjc2piyhe457GiA4p5z
UxfqmoqCm5Lm50EVNwByfUuED1pqPTcO7ldVOboDT3vbOU8UHs8Njle0HarbPthTYBKwEz9toPfB
fcWvBRq3qcFDsOCuq/5kQzKqZYqllmQPAuGAQMqGKnEEMoW4mtr6Iadkd01B0WdDIZ8mx0fRfJod
V2Jv2RvdADgNlWKgodoNBua3pJuEWCswRB7ssB+3UuIISUKaIkynaqtTqutPeWnQQjDTatcXoYLn
jvvWKi2NaqKoeda37VTWnkPRNBkm8JSy2dTt8DQM2UMjxTMZHv1a6cz5zANPbupMvkpN3Ue1/jEG
ztVS7exmLmCLnAWuybrbj2GG4qukMiufc/cOU9l0GebRLZakN4Q24Q1plx1rdiTMWS3B2AKJxWij
50LjXRyiuzguE9/VxaHrm6dOLWc27NRnB0vYueLnW/Uxzx7PTbkHdCKz/IYz3JVoHXFnJagV0+QO
67AGIcqnvAHT0nS+0dr5jk+z48uMCi6r73e9imGWpWwJa66ctkOhRAw60N3CFrGK7bO5GzJX3THG
nakyuWkM2rktdZv0y2wmAqookU9nS71jynyq1fE2NGtrD4jgibJuikTCOTj9dBb5DwFcDg8/nWu/
PXTJf2MuthjzbZp3fn3oWllXcdiV3bl0qEtQrxLnzuKnpkydKpvH//5av54iltdiyQEdUoWDYeM7
WBYOP52haYQaW21ohrMTrIP0QU6UX/2PjOv/eonl3//0EsD7smzosuFc8cGkExVPzotR3f5//B4u
OxabsxXzwJ9epInSFAfoMJz1+k6WF6OgqXH/31/ir28Lf1Q/vcSSm/7p96DlC6eZMQ5nw7nN5WbO
QQoOV4X9mkz/45UwlPzpAvj1lZaf5KdXyqLezC26UM6Swne1QKXVDl3OznDd54cZnNF//8X+GvhW
l6CCSSMUmQjMLL++HMinca5bdWD4f1JbnJHWXRgdp/zfMfs7xHMBg/39rHF6rV7/OmcsX/P7nAFv
xgLHaeDfWdaOLPV+NxFpv1kGOCWuaQXazHLI/2Eicn5jKmcE+AHq5Kt+mIgc6jlYOdo6qADFXOie
/2DOoBbsl8uRKIsNWZSsMqsn7EQI679eHzW2XsPstfmqWoJyqtayhnIBgVTmdK8mkjJCyFII9H5Q
dW9KR1mqxclSGY1jYwbZItbdu730mQguzZmjvdmSt8d/CY8FkSvONlPgnKn7wlTHTL2Wg7JNR/dy
0M2LMi+3Tuju8G5cscnD12jNxDxCzuXAom4ts+xQMdVPYRVHRiRImL0RXtpL1kVUHLscaa4nDYOA
FMo2JwmimANYFM15sCv93GjZlYnNY9XVBStSvc8eUmvaBmNKd6PpXmdJeBvSV1cw7QHiTAjiZhRg
TK1B11OYUCbdVa9Fy+vgKtjOgpoMloQe5K9dLlLCwKNa+5QQRevWxTpNr1N16JQwXWsVpX6dZrt+
SjVZnJkbV2ZvYAj9FqDIquqJ9Er2eB6lldtxhtppK9EGMsiuLgqwH61L7jryayNT99pUHnUFP4iK
GBwUk+s5tVIRdLAvhrQsPXewbqUa07zl1HTxFpRfhRhBrpyMHsqhoyJ5xhRqNjT7AbqjepO6haKg
7qANXprQuUuIwexjCiyNKcCkBBssN0aPXXjuN2Yy4PjHCoGORzdY0MDRypW7yXFxrI/mnhKt0TfC
6gYu2240HNuLcK8gVDfSK+Mm2FtDT1ZFSQk3JC7pg6Zbz1E8ES3PsMWH6XutFmBP5IIpFbN240oV
xqmZQmlGPhXAuH0BpA6/veKmKxwpOYiToKD0S5g79ieDNzAm7itOdaNN/LU3qD/BuprQ+0EEfgd1
pwxuHXJKB9WKPtDKq7VDRuQwV1FMDLTe1zK8axQ2SHiTd4YgO08sdN1EnbnuGWAoNygRxuvLpsm/
ypEhzZgHAH79U9VM9sqa8aFpku4HyExeH1RPfeMoa4CcF10xXuSo8IQxkuu5dXrweOG2HczLYskk
B+KBqUrB7jbvEg1AmhUaV3RBkPVWN2YMd68xmDAgzG0TW7vILOJZituiRQVXvZLeu9BuOPkF+1CT
5pYCp5xaUErP6qRsNnFUvLpKeom5mp6DEEKr614Wmbtrzb70QEF9xEF8X4pJeqEIYXZqyoceVw89
HB4RZiy1HE19BQeFu1w89xzrVkPrXOps7D11stJrJogXHKnHRrU/7Lk5TpS6zqpxDGOqWZrSvBpR
ci+LOt9mCk404rpHfSRtVLPAx6pyQz6XiE48vWj2XSrWxuQcqzjeuD3QFwyBAKMqcRf3qM9tmlHz
aQtPK+vnSrQ3idUFHnGcc2TSjGXpra8PgZ+TABHC2iHbYw4OEomZqHG9Op1WWeReUmi0t/uUHhyG
Q2TsmjPRsSfUtk3z+cW1GBxbsg3sn6UJ7S0TSUhxlbzohnnvVvGbZlbKKlBx/eWDC8gxuW0z882t
IwkLqCE7Ku0HKl0KT80DPsQYoBlgWriH3AtX7pLAbwptyr8fJP8Nj6r/NTy6z6vPOn7N/vrUXb7u
x1NXZYVHNhQo2nc5j5Pvj6euatHkTHCK4/e3Uku+6sdTl5Wgrtv0RlN9xd7P4oH846nLoxqch8Pm
m70cxp5/ZN3FCvynp65NZtRcFtvMAcui708nczvCID8KOV2OOnbSjUpLr31Z2QDWvpR55pGELVVp
mad1rH/zrrTSlIdKMCbMDJaR3gQagrxDZnxXq709rXRLew8V3AOlG7xCc7uFspmfIYqyz54tbUOW
Fqa+oTSXpWV9RRVcyjSnmlktKE3CZ6Vz16KgkMeuDRxTNS9mRPG9KLKWBRuGtInEAvbchI7lE+xO
vJH4TDBJpkdy2IVPSey0qU32Ry3PiFUGKc0DzIbtE4vyyeinQ2rGF07ZBsc8ztJNKrihAz8mnwh8
lTxACrtjdG1sbC2Dr2SrQhuuXflyZAYlPwG4yxDPGfNSZY3FgcreO27pCusFzBiYPiovdCdxqhPr
ne0+tIvSVrelmXzNSfKCs4OjjdGr+X4IoFJXRjLdY2gKcCBGlyEQ6n0XJZ9tOGvPLJowe2I/3vwf
e2fSHLfRZdG/0tF7ODBnYtGLrkLNI0lRIrVBSBSFeZ7x6/uAbn0WKVkK773xEHIZNQCZ+d6799zO
TkpX1AnwAkZVYJ6dzDkAQ9BWdq8qe7MY1KOFpW4TAm3DeNDax0qIG0lU4h29x10fjO+UApxlbmbm
RpX5jbBRpgGaAyutmjYNIfqmU8wyZ6o9A9ExVo5a0MK6GKvAeuwKH1WtasSHxhu1ZkMk00hjaqoq
u7oE/HYdaWHhadTokuEtJBq4BI6h4nPBFQa6WTol0mLGdNauaEb9naK3Sbgj1GvaV13mXEKgCSXn
A4n6xeFL8C4OQhiEKLHztdOc+KijCdb8dLozOypj9+WY/O/qpf9y9To9Z8zlwp85D+YXflu+ML+z
x6Kh1c25QHD4o2/Ll27+AaqMJYoZ+uyMp3z8NpyYJxAzqsj5c2b3GkgkrL9mFv+gYLDsH+pX1Zrj
+gigwXxAV+HN1EAkjS9T3VcuGuhUbGfA88zp2euJF4stDAOtoa4tLVpXo58mqPqK6tZB8X+ji5l0
j88mE7e+76QSxc/IXLzWKvJ3QzE+WYrEcwk2hNuWYXHEVH9R63LCPsq+Dh7F3KCfqCAR9wgvIQ2t
ukJx1pWmP2RFrD75ZUKetT4U6zwQidsToEjQJnkkTc5/awg616TyVR/J+wNN7ifSnSjG930m9lFE
W78nqhSNhQ5nUdm0Ov6AAbN1xyJBWtkcHTtHlyjjafRzZLnCWkG6684yAwyYVpG/YixqbKpxDBYj
ETkIDAYmCBIk30hDUPr6tNC9qlhNRu/qzVBfI4SDM3gieeykNd5p2ofQxGAAVfgcln7gUrLdRFMD
p0PXTqNKhQK48ALl4qkO0dBJPNFmQ6UlO6tfCTlMGyYU4T7jkV9YRjhA9q3VVW2VeDbhOvULOag5
35kEZBsWyoVhAWQM31kghDcw8oFNphW7iLt8uJlkJPBDk381dCpG2iDYOjHJB56CThPv9xSuFcXN
OIQZkHVQdwGmr7x5fdLF3BGmHnBrKWYuIJ5ydBFZ4d1hIyk23YtSgBs722VV123SOg/3nq3IU2j2
iCcax+OYz4uzk1a23o3WBo9JQMs4yOxPfgVhoWdRpoHvPMZa4wObKb7imEupIfxj4gUMSKLxkqhx
zuwl/RpMllsafnMZU3NcpqDqABjLGB1l7M8hqLuqK8WeI54GR3G8Yx7Mz5SmGzPgL04ll9pgQTYy
X6gOhM/1vIHmhfdQdb1unjoLS9YIjlPLjcSAwTrP0Cp1ZDdeDJax1OvYd4soaY5V6ah4XivjQjKs
va5KqzzYJohqJc8J8Z2d2HJqN0YAXpGsm0Yltwdneb3vB7SLSedTGpiexEiTrpXU+UIeAMKf9CZv
23tPMU51IXQMnkpxxnky7nSbsyx44u3MKFikkJLfqWCYVlI+N8pwCBNxCE1xHIMc9nJEDvYwrmxE
fXzmixyzo5XCreiUA7zAYxogjA1byztlsqhdsgCNdRv4d5DNfUZ/xMZH3TYu+ZFkIPbFDGlVyBFc
6LH85MPqop4PL0OXM0rJoB0pTZeySyECtpMdSELEeNWntJKodWNtmcuvtghZWtJ1NYk17eKl2hGt
4+uERJG3E0BwEZ1JFx98rYYeKGgsSpQhuZeJetHN9p5RCrN5ojvti0fGFom109ei1G6h4u4E/WMj
TVd2g6QJChm2gXgZdd2nwDY2dtWtat+nn2/Jax1ntzLXvzgxz3CazBEa462J1d8F0XMaSyBTsbks
+I3TCJuziX/WBwLboXwmcjF9msbxXT/fj1oc7ao2uE75cEkZwYnInyEBW/I36RpweSyAN6jxESGO
SxTnu8xrXUUC3CWvmNnEVti4OgqGevWwVizszRxKnmw5m6uKrYLOJoYmMBb5JStUucrUfKM1Opmm
rX/VyTwJO3870ORIc+XYdeN6TMJPZQvUIh6WJY+IDoDeqzQXXPLSa5LnKnnOvfYWQSl3pIq1gcFX
j2GnFG5NDivGNtSeeH09tJa0S+vGXpsdeZz+cGsOzrskmnQoOog8kdJuUrNaOiRnALBCPS7UtXTS
r2MZnlnh1sjUljX2CluS4eHXwc7Qxi39ygdVa5BKyzvbLh5kUN/6QKHa9Es2Fs+lSrs8GbSFMMI1
J781eRYuBKMV5jZGSvDNONTlnXGre+lXTcFjVKmzlxUalrpVnG4ra2WtBsldhAazsYDz8k4FEwas
CcXKU6hr1XbNo3iuHbnWjHpveCMXLFfYtIblkNWEJXvZwjT1J0xvD/yvTKxQJJrVJqGMEVUhoLfl
mIEuyeplJpUDx8ndROxLPuJd6qqYNjybRFB4JRLbEV+ULTZ6g5y0zT42ZDOPhdjRtlsVAWkeeVNt
M7o06kBM7GQ5Gy3qYLSqH/Iqus0VbeOZAxrulu/OWflkbYrG4u4Um87qbrI8ORRQdTulvUtCsZWD
d/FmGaCZ7jtPOwU5qLqsZc6TjFdOm4jje2aT8iYCKmdow2NhJ+5YEUSGjujeq+ybuqovWW3douFS
F1Kr79oZeYDHGNJvu8is5JhY/p54LpVkH/9UzQvVlD+McXPQKws7BDU4kWyR0S/rfj70ZAevyO6r
Ytxren5Q8HBfUIR7QM3C5K6uaUdNerOvVPxUfb9E8M3GE+Ect++jJhU7nQngAqbKI6LvhW7GkEDg
7oXaFzsFZ9uUD3EV7BiUXFhvw5VaxRuN6t+asABqSPyXk6o9BlZdrB0jfpcSEUR+XbyJDe0axTJa
xdQ04N+NNcOcrRfb2MOVdBVO8Knrain8HsXgqM/iROSZ2XXw7U3kDfsBYEGhFCsFDXZTWQxcCWhJ
vTpZRJ1Yta2/qgIlW2I/WsRNu0zJknSJJ9l2ivzSdUSKh+rG78Sa4eeK8DLWnzoasAxO6yHNDkAZ
DlVjvcvhBi8qQCoZOoiGjiIybWUPYo57PeE5xc+o5btEaU6T0j/WVfHUymrlR/RGvGQ4dSbq+1Rl
+/uuBf6TEdfr4paxEydEQ9OBYxIS7YCtfN1SbvqqqtowUy5qug2h+OXxrRLEv5lr/DCwebmITTab
YXK0nVvu349RcLKAvDY15TLIz1W/6dvHIf/qG25KosuvP87PDryG9teV3gxscg88wuRxJV2eA3NO
kUW8Mu1y+33Ufgwhbf/6cj/99niaiP0wNY3y9/UH02VOqFOS+9dO+di0hxJwZvL060v87BNxWuaw
zGWMH3K3PVsMqgMy74pSI+o37TiuEnToqb8JYZzpzW9Gnj/5RGCeKFoMbglds99UDB2uNH1Um/Aa
Zj69UhRw/qaIf/OZ5o7JKzGTyq/93UXedFRqT2ks2+MiUUUqdnWMnODPkvVvBVO/+xjzn383uOua
qemqjCtUxcmec7nguojwNxehxfTLj/Hm1y9iRgRdWofXQUGZbC2dEHRfzQL3CHzRri86JI5f3ww/
+1g4xFRdWAjhbINR0/cfKw5lGgL/CK+ivClVn0yrnfC+/vNrYKVn2kVCAUPpN18dnBTFJkorupIM
RnCOKzIa0cn9ry/ys6+O7p3DqFNDueq8uUiO1VSEIXKWqnjM7CMKNhZbgj8gMrYHE4dO7938+orz
PfX2nvv+im9+LFK2narQxuiqDgqC7A+k7v1mMdBe/zoQf2EIC9SIzA7NOUnizeJT5yah74OWXqMj
Ua07Ns9TvrRW1k1way3Rda3Raax//aleX/Jl+Wbh/ut7fHPJgPC7gfZ+dO1s4PjAAHSHRSHf/voq
P//uiOdQZxmEbb35texJs0WTAsfwSmepawcJxOXXV5i//be/jqnNdxujzXnI+frGLmodHWJNrAtg
3sUodU6bH0MTq1cU/eaz/Owb+/5KbxY4KmI0+MKOrpr1HMgby7srp98sbz+/BJ4Qsj54ksSbWy3U
4k6acHqvWXaxECYPQOn01v7NVvezR4ib7T9XefPTxxVQwdHnKmH8lGCpNJRVZa6tuF3GzVUBTmz9
5jf64WPpYDXQoDIBn8WuL4T379ZU3QEKl4o8uTbdBtRYb6/K6fbXt8EPN9qbS9BL+359y5D04Vgr
kysmd5wZPiZo6zdf288vYUieGg489NleXyIahlRJqLSudfKkTMw9/9/T9bdbzw+3Mp9BwgXnOaHx
pr8FybN0il7LpvTKOS9trWUQ7UI8N5nz/PJd/duV1Xj4/17FsYOR9pN5Eq/51pDVLKQaCMVh3aG8
4J79qyELJYYMIhWxBulz3MbcHN/mSYIhFJIPgqUNtDd4uv6aJ1mkt6K75kfVWeFnr9c/aMpq9nyH
/bXWEWbEDNeY34POu4DY+ObBpWdUaNQLzTmNbbQE4I3cIU/R1N6Mejfhvg2dwJvslcnqHkC27UgA
A2KpkwNu6JSqS3MMDUiWMizHC4RxSG0L2fYWpYsG6rRl2JwExkYTqFyZV5hJSP6i4kWd7iqek2cf
p8puzatoW6fKXKEW9GcGy6Kft9SUMqo/iampCM1uQHDXuHKHqqPg1iBsbKK6cMBkqsHOHyowc31v
3sNNg5YdUou1eWwtzDhCYl323YGVdqQUC7OzSOL2lsjL/rOaWVaxg8rof+7MalgntZoeQzvOkfTm
3jlSCGsG6h1ssQaSCiF7Y7zRhO7tcIr3pzgT/ZmSunErWCV5LxnoDlDSPskQ11TSYFFeBhjdd4EV
Ne8geGJpDjLrSU6Js+mCpEcJDfUJ/vImIUPvVk5qshoMYC5Ji0oG1AA9TatpIITY6niu1Cpax5Dv
1mahFWS91oDekaETmzt1zbb0VE7gWkEykuME+kdjKph1TxOKgFhv9c8xDdpDW9b+bsS99WBYNf0Y
XQc4UCDgnGTaXto2fuIrzXYlgdd3GpUkhFZIjCezh8ZgiTw4j6S7uv5ohWcrrOuN4yTVKpoceYZw
Zm3TMkOZOTIRD/ChPeFkTo6An+v3bYogp3aijEiBUD9RAybQVYI6hj/iIS8fSvsGYbSyZiJVX43Q
KFzMxfmB0ydNlTreY/OfSMpR5Lq0xuFrbwbJVhapvx/ykGA2KxLKKfRsFcZWTQJUPgI7aRoGa+Uo
STn0AaCgmJjoq1Yo2SZ2j31SKfZ75N0fSBTQj7oiiwtv36M1R75RnetwEKpKvYxTQNoPUao7P8Ta
nsOpR3ZcjLdBJXu3q/tyNYYtuLNu8tZ1Wde+++/K+qcNjaXm71fW83P36cunH9dWnVd9W1v1eW5F
v4Bplo4dR6da/c+wiyRQ3LeUjbM1V9jsi9/WVucPRudAxW2m6GJ++V9rK8EcKskbwmF+9uLR+QdL
K/P/N0srAjlTMFWDtEWWB+/i9ebutWEBND0cL2F2NUZyknVv7GHkOvfDpPdQ6XS863p2ZEG4RZb/
mfQuBQLpBPYmABo8gp9ZiMbZ17FzQaOZA/y3PzsYBpLWeT/NLMo++0pHaF0q4JNCKr2kSAs4Bzag
/n6CxJweaUDR+oLqzuTFOPdqSQfUVs0F+WLvbdI510Zu08+in6ijvYMPYD3ECaKUcfqswB79E4xb
tvdx2FwrxzyH0ptZQkhd4+E+zwfSaboG8sGMaVDqgyYjmKtZRyxuzmcmwkIaYBrbXSuDNbIJj/54
ts4C5QMkiyUN/AX1yzmRPkkiUJQygVGe4EXaJD1ZSWHJBJ9hG6P9hWZqX3InvNQxuBKfzYYk4JQG
NREDWlFDWIRNakUG2m1Cwhd+pkQrR7Ee0ynWGbt7gshINdkLuDJu2Wu1q5ALTHYYieF95yYkyroO
zgjZOxNrantn0xRfTZX1HjNTGS/9sDLvHNEisQP/k9M8Q9VQT/da34PsZwhXBq5FBkGwSiJq/fMw
+hHisMBPTJcVHlkBrFJpg9apIWTPbM2+I9qDicEi8v3NoJrdUkxEdXm0lU2BjZB503MRWadErZ0F
HYSPk4kkg34IsH+vvW+y7GNIw92zGL0RTWKZ9Y5MrcNQiQjea7bNdVVZBXHBNiy6k6MCD4lH40Ao
6ofRtPdpgbcptcZPpWaV9yDRbv3URI9H4nnR77AwboYo8rah5RkLJfS2lN/50i+Nw9jG2sJR6DOP
yshSmsr3SscAxi6Vde/ojG3xJNckjEqv300OLEk1L2z08PArO4Ws8LLYhCEOItQp10z31kZL05Jd
YUHr7/2UJB8SS/8K7gPCbVQ+oH44Zl58T//70U+rK7iEcDk0chtn00NdwVFU82CLvEUsE3hE2dDs
01ZwN0fTQ8eEhxyQT80YrjCyHZwodOFwPUIUa1zP6EFZqJAhkmomvFX3AXhxcJhmzVuLD4xgV8WE
WaIRjyVZrwtkGqeqELdTgCbD8D5oTNg26shksG0/AhG61ZN8LYgho+t4GQoVHKo96cdIdi3/lGGv
7s664a/j7EuM0qXtoMfVM/QonClHeLfd3BqvoW0RdQoCzOlbeLmifkBPMyxJzf2U4m5H7R83SxVM
lUYK+oKZzDt7Ytg95ARqG5V4l2U+VE71cZLBKXGGGwNbBUJK6FOl8wUs3jZ1iG2BdLqDCcUN6M1D
l2HlRfqzFZkFD5T2jtv4QTTYVkmwITyRzr1jfHGmka1e6a+5B48trTWsWr6OOcnLrEViB85CNpWG
CWRIUA85t3HMuhIgFNl5XaCugJj068x2Pg9e8ylOyqunESTpCctzoTx5y3QsHUSI1qGQtXmdDLmB
YRKQo9uV0V2RaZCzQMn4MeSmPD8ak/9Zy7R9S875NvUcZdXEOmR6H7R0AV8O/Hm2duLmGWDatGpF
ELvV7EwiGxEZXoNjjwM71hwL45VnVsdJI3JF12CnYW4JmtuKREgmP8bOnswz6XaHPOVThnHpwh4k
zGJSTJdq142CFAC4MP/d8v+UxM+Sj7/f8g/P1U84HPNrvm34mkBMZ6NgsQUIoZeK6T8bvvoHkanI
5QFk2rSL2dW/bfhUTC9+WI0UB0qnWS3/TZxnUkyB41Qxpdu0yqB3/IMdX/DOXtVSbPSIb2ZrPH0W
jZHk6w1faIWP9HhqzqIWBBwRjEMUT6AnLgISZyM6+Qnef09qg0Xs5DhFprJPa9nCcROhHj2GOry3
S+DlbbmjdVsgzW0j0osLxWrFtcBl2F+zvjgXRhy+A9BEWASBDIK0lalGPRZEH43Eom7LRrrkqkeJ
5mNF8lgE56pON6dgDS6dA2ppDVW7Mz0lJXdHa0RSP6YBkTYFwdmTDuvJaO06rNd6NoTaPk37Kb/z
J1RmGGRZKVYNYZkbx/DBdAigUkPX2G6V99FGicdy1ZccEbrY1lb9UHIKie3q/dQFrbaNndGeVkbd
jvRSdId1J2mhTSFfnC35GSBl4HjFZJ/ake3GLfTcvgvtWY0Ang36FJyTjVYEcXMXGwnpUuz0yWXQ
7UDflIJ/H2E5P0y9SdexIHkHwPAQ5GIHCdNQV/+eyl9O5dovT+XHvP6v/8385+S5/vFoPr/0+ycV
EASnb1gQP7Q9aEkzpaJ7xpl9Pn9/e1JNxGsM5PBTwVdRab/+9aTqLw8xUF0OhILGh/1PntTXzUOs
Lzzys4PdmCObwWfOf/5d8zCSogYV7URn9sDJEmjHN2b54bu16/pnC+W/sja95kg16//5b7x3b5aD
+SrIdElwZCIngfq+vkrphaTETlZ0bvIoTNxcqhlDhYpEAc/Q41VkMAfOR10j35mTdksS2TKZvEMH
CuxWLYKbJCQaywrCY6+qrati5CB/i3SXRAvVpeoHu15Pd20XnMIOanSrHdWpv6lH/VROOQdB48L6
s1cjtOxpNx801dJZizHBrt6CyAp154tGMgJuYODTUUOcMjSVryFrA3xaG34O0aIOcUq8fhBkSo1A
dO19r0zpxusHZEZKDWvI0el6tFMOaqzJEB/r5nvPcMRGJJbxUU9h+CrULptQjQN7FbRlkSBmKOMP
OYHGkOiAzW59B2bkTjMAgS06Q57tsR6HjQB7ySlbBsGiMQpDvp/00samryebSplsa6PlPcZWcgjp
rZbL1kqb0Vuo5B1eZKkrJ/7/BWQP2OSz2zdXso3MzdDFBkCSyrwoV0KGWyMx431L/0FeuV5tfLRG
X9QH3DNdTqPDIHejsoZroNE0Lf3ROTiVLfY4wv3H2bz1oROoF2UyonVtstYkWSO2SLPVLfwZMug8
Gyp67VApUQfZrHArmLmmqxcDdVgLTLf0/XHX6VZ3dtqWVBG+c867U/2pDvzDMAIJG0mu4fQW7hSs
2St2RZC2RP3dYu/fR+qYrJxcc27pyWB6iKih5Eh8Sl6k9Mpi0+1yjd0n/CBTi6CKKe1cuwynVdVA
aa7Zxljxh3BvkwC4Es2IDrBJtGVG9MWZsAmdAOSy3thGt+3NjLPeoNc3PhpIxIzpKcySE0zKbJ1W
4Y2ZWzsZtJHr2cmWJyZ2fUO91k5/11B/3GNPll9hIixqYojtfrC/5mHrWmntxl6pvVOVdu3bDdl7
eUzZlq5jWS+iAfVUbRdf6rp5zsLqeYzG92WkEBzd7Z0hXbOAoEyfNuagnkbZuYbTbNnkjxOWf7/q
PqtWeypTZZ302sqogLe24xO0IqRtT57aam5vJwY1IAlhsdU9Wnb4OZlsc0WwQb1vuh6RXz8d9VTf
Gb5+sosWXWj8WPDz1Y2RuJkUK6+zEZfJbatOj4NXr/yUaMZSLRcGOFxC2DJ1F6FodbWR8lCIK5/x
1iI/zR3CyXfDygNr2anhKTBtQH6eftMkWX3qy+bg6wM3M4zapBzURewJ7rJ0PDg8RGouGKxV7gBI
VxbG0RzyD8rULGNL3LW6f5OVxZGm6bLTnWPadjeBE+4TvVjpHiRp3x8WRCJpiCsZRLcVTjC/Us+x
En9EQfcRzs0+rONDnsh91Go3U6+5CQzQPElOlklcQ1KOh0mIbaFQH0iItmUstu1cPVdFuAgGsmam
npQitGjllGV7mMxf0tETCyXI0AP5ROVZgxFvSqfYeDUu+2lUyvWvV96fmCRQP+BcZSIpsRTw99cr
bzBqBD7aCYC/kvK/S5wR//sYuym05GOTIqMVHYDaPEgxjUzPWlHWN2UZq+/kJGmCDMNtW0VHdfDc
2BEf1KHZlIH9NYsjBJkFsAdSKQkRHdV1Ps2aOi8EhGrVyx7t18IsaW0L2WyhSH6GrN0uw6h+r2Pc
WGE6p1uBvnSRZMu+XNbDTitigfEoQ5tVbXTiDBOdnKtUfBmT9A72yL6FsDrVyR7Z3VEU+VHWurNp
+hFo4Bhu9YFJP+nfS9uDPhhgC/TZ/dxarW/NsSX9IbD3auDwXHNag0OC0jCqhvso7MyFY7cl94J+
MUN0XqVtY9UI41NXkPFVR7u4tzYWEik3TKjhspjGh4RkS67Gmh7oyvKLY4JqEbaRfgmT/pC0KWM/
WNq8S1JYx3pNWMcljpJbHOb+osu6xLUzJVwasyeqqq6hUXduSvgClX90b44mTokhxICGvLTjZhq4
QWU1EW1SzjBfTn4IaE3tkUAINzXIYHTMbc86ZNQQrRxxVEvwm76jfPE0e1oUNNdsSudFnKTaTinm
taw5hsJ+0NVkraojvGclfhxTXVtG9Rgz4PAvxmRpLsC8mdVOlA484PZ9TkrNISTO6JRArN/9+lZl
jvOqYuCIwHRIMpkDDy2BY72+USPwdQw0Uri6mDyNaF+hw/31Fd4MZnEdCYvQNEnNRLinfCu6N2w8
QdLx/XNiI621L2EbbsPitupReVbJMrTLtRP9eTj+26EjHdhXn4sP8uaq8+f+7oDVFnFTmIainNQx
u8PORDeTf2BXfPBNzh7oHyIyhawPtmfQiCBDoBsg0yVZP0OJw3yZVdNDrohj2JjqEtzLOnF67bMM
TOEy+b+38dORbjMeRGI+2l480A4x7Ja7KctX7SSylSyU0tUKYBTE7Iy7dhDG5zwjQ54ELGMVhuFT
wr26KlU7cFmBR7fBbL3sWueuNZNpw3p43/qdvkt9iEbk5EXC2bIpvauram3XPfIGK9oaaqCsIpUT
StJnGfE1rbosgTu7VY+uWITDrR5kmIxC8pANn/6kA36k7r6WNZLtugh3lalsx958N0yQUdR4bzUw
RquZpRd6BsOXhng/u7V28RQdGCC52ejprpGgaDS8mFVW/dChFwecmJ5kMGyyql913sQdrK7ixk8Z
wxRuHmGYKKZIulXinQqY674ltlpuT0vpD3fUfRzgsE22DRZjw2jU5SSajVLMMsc2/2T75alS05uS
cpTZSbOotT36UFQrlrEVmWRF1LT7bAy2gwcVvKvac0GDGWA5kMbKfKYZRZ8HrWhpmRu/MI+Cvtuv
b/EXptVfM8wf77b5IP7d3dabHDH0ibstOmZXUg7X5aF832+mnbW1j5KtZ/lE29Taa6fsY3/49cXn
IcN3j/C3izOnJZhMn1WLry9OPSqzGMzhqXCtRXbUl8UalYV2UD6INbnt9xdlefzQrXCodp/4S3Ie
j+piH669s4Gw8zfv5nVh8+ebMXD5oGtk4sD+9/rNjGqfIg2MgnOgXkF3LkL1Q9X9RrPyes368Rpv
ZBFTlbZKECQBm+uzX22d8TfaqJ9+BlREQoBVhUHy5tckIHPCKoLOO1euJZr/yuLM+ecK9a9cQePX
+kWHDZ3kzwp3XvSfwt35AxKdRSuN+/mHFhulLJhZ5mnoDvjdvtXt9h/z3iL5xcjN+5P6+K3DNssV
aLoJXbMsgXn2H8kVxOvdDOaEw5iNWB0MbLZNW2HuwH33pGueMZMQhHXG4GBU97oTJCmo6DHVyEVU
WoGDB/HWqZax8VCAoANI2yc3qmIs6TgkKVR73F/LRqgewGpp1+UuzavJHUVHJnhL0pyxqoE79gZ0
BtBR+RTf5ETU4N25JT/649DrDeQs4zzaGfGPc67NJAYKsjL4nAvYp/qcfoMFDyOXioeeYBx2OgYt
ejy6PaE5geY9zIru4JCrEQkByUu8TpyQu5pCfEd5T586d/E9kQuZt2OTnUxltLcjKeWhGXozIKNf
qU0WLrysKz4z5vjod5G9bGxS+rQiW9cDCLQ8JakrUrYcWxpMb9ln1agiVAZ4DeC534e+8qSfimw8
5cjeBxo48NcAaHiJ904r5U2aqytn7DbRdKM19n2PQNGW/soky8E5vdx//z6Isx7z7x/E46f4+ScN
NF7z7TnEyGkgbkNZIumjMab+brZt/EHrmwcKOASD5RmA+u1BZLZNQ00VSHLRR748o98eRPmHjWyI
1pdAR/3SW/sHrW4OkK+2vZn+whrA00iBpaos1vOff/ck4sCmqVpm1iXuEv+g+Gnp3Q1DnBHCqYfx
pp+JGuPM1iiBbJDbnezMCiafNRM48KHlu3SmcvT9DOiIEqmuhzkY1BQWaEUSEaQFy6WPwmoR+9le
cZiEvsxHh0Rd26mPbRo7hzNJplYdO+tI/BS5nROgZPom2dAfoixZKxIVL5319rbp6p3eDfbHBK8E
TYjAWfUkECRqvp1gyfW6f1tqGU02m5l1rQO+y9Jq20za2amdZ9KobkJDXqZS7mgn3hFotFHy+kHx
ZXHAyXgoA2dXBWa405z+AZvrUirBXapb934oQTpI1gMzNgo0Nf4jmpadIQvOjd4jwSmf2sDQgOdj
3olpOmyIqOI9m0zzDCCCFRNHjK/OoTSgCcaVDlg6OZd0CGcvGN0N81MVNJdmyr42fNGkpeTLKSf/
cvSKfSpisUzzZms50lVxJzqajp9yyrC5kDYA6kZzDTHuJ095kFVww0nUWwZNRAAinpMSGgmrAMug
nENt6P2h+M+3HEMfYwYMqHWQExvUZ/6YTEu/CJ7qtKuWY6FZbqaNG1uh7YBTf5NK/ZwVpu72TRLQ
9KjeF15g0pH52lJCb+3YdlZY0LH1W7bL2OcrzkVMcY5zKWfo7RSCuutE+U5WkkQtJ9nSYSNMsN46
XdUtTMgkUVOIpeVnTOVVf/w4ZtNe+uYXgcZpFXWRg8NyejSrYk+q18dBnW5KaHFdpT32Bc3Aqgm+
CiyeM0jHWRV1dE7FuI1rjGWVqdUMYfrnQZIdSWQmLvfCX0d6+zQGFeory1jDB3miicufRxXZMDoR
oJ87tMtHVGy4WtMZWd3AUMVWPIOs+fwkXI0z3dqzQhx4Hch2WgAvjlcOb/xSLz7YcrbExvM3PkHX
ph5o3BgLwdp5sdF6s6OWbSTYjphsJx6Gm3H23caK7G+K2YvLVrU3jMhYEgiyMGa/7jQ7d1EbkDw6
u3kN7jbOVrPFN9ZGCNyz7xdMJJKMEl+tlLiCxewPJpilgbtKP0ztunVPeotU/QuBO1DusBcbbZkt
AKXcAKH33TqJzqVN9a5rHxADjneVRpWdaRHRIGWKtgsegDZ7mSXdxkVlGzEZGHQHTBzXw+x9NpD2
LZgNcN/ojoLeH4+01rfdOTVNEEf4pwVG6hhDdTw7q+EhEbqDpAVuav25wn6tGQWDcQzZmd0aCxxA
e4Xe/F6bXdv5i38bEisAGTzdJMf1K8o85AnzRpnN3u8wrYq1UuAHn5pJfSqxiEdp6q0dJgarfvaP
k8PKqhQn1iZPZ5+5EqmMu0oyN2fvOSq0dDGZ3oEU603S9+eQJ2rZTzRrCS4Pej61qlhrzc8PmNg3
Yeo1q9zBSEgvAGGcI5dDICjEZMsvNJGrhEiOvu64TrP0JrBCiktqUayu1kH6pHL2hboJrfhR7apN
q9R3yAw6GvkVw/e+WmVafKrbCpp/C8KGyCCSXYstfREMTx49STYPtyDIlP8O8uxJDuk7/GLJkUxn
xBnYR2iZO6s0tyrOOOoWIeMHjj7r3iwOrSefh/z/2DuT5biRbNv+yrU3hwyNoxu8SSBaRpDBTqTI
CYyUKHSOvsfX3+XMVJakUqks7zgnZVWVKQXJCDqO77P32qYB7jO/6LIRC5yBak9/1T8Twh+bNjxp
v5sQ2vbtV+tw/tS3GeGdw463jB0bSdsfaymMD5b6v/GyORbzN5eoP2cEOOyMFFhGiYgwzVM3+a8l
m/+BXYnD38igwETPXfdvzAiGzZf23dWYGQHlyRT8Jw49XYCe+3FGQE2ZNKbw8Twz+7ob1iEpqFWX
ZhkimlilzPDYLVlkbWZi1NmD0Rv0LbDFT7pDtSTsJgawbqcWoueySSezA9s+VgWrJmpeHfvzBHMG
ZEzVhMuGsmmOOHzA++kd3e6/Y9zntgXB3CUK7x7Oy+Kv5R/cdxzIbJxrB7RCheCiCPFLaQgghz10
tg2UimbZCNegbkKVBOFGzYxdr2f0czcDEtZHaWixs3U5Ztjac+AUjugQxQdCyNbcp19Hy5u2EXqw
juSewoS0fF/fxxSQXeCrk68JTRVrP4IzS2Z3HjaaxMGMEMjzmdjOSs81kL6YqF8HG1vxgmi16/SZ
Ome7jsTOnuOvzqiJVV54X5l0xKrLo3zjVvyzSkvplxh6WmrccjzGER1UnjpUowRABVieCMeTxpXA
pS3apKyBOkjYLpAHNNq1Fe3HmBN97zWCOSSkfsbwlFl3KaOLqtHktVAbRFLU/s6rirfMXewd+IKI
yPEgdm3ZEZVlfcjY5qYbYffyOtPBJ9MmjtROz3le1yPro5IJzrPeYkpz9tx5+FgMWB7zSFDyWUa4
wxztFVJftHcW2Qc8XSlGb5qv7hiGlP4wIrk5g996bCJIXZ1JL2+ZtxckStO1qcXpJV9zzqLHKS+y
cQBAkNKa5toc+e443/h+aO9Gv8w3bR/bhM1zitUaAUWgD+kjWhq+TM/6JIsMy1GdRgjUAs16ZAlT
umDOyDgRRSytdEfPaX0DsRkITzR2N27CRLLMRg1tfIamjI1YbmkYmDYt5AZAJFO1mQy3pz6rpWt6
KrI9MDnIsmGa/6HS/HOxUg07//nYvHsp/meFj+il+fJLVo76038dn+IDhFviMSrLqqIU/7piYTTy
iJc5ArwmR6KOzvDtimXzT5C3ffZ1ymf0vZvI+oCXQMkghCHfNZK/dXwqjM8PxyfaF/4BzmLaAkho
6Oqff3/FYpWNnd+Kr7TMM9f2wCniLTOmtIE82tBYcw40C5M6myjNpXI8W2xMk2Pdph/nNMP/uoCz
uKInRazZCUbsER1XH26m0Svnlx5DrdqTYtEB6DDJAZrgqgYspNrcHGVFhS9VLwfufk3U7jqmhPjO
6ygnb2xAebTxgNxdLdGS3uf0on0UmO/MQLLPR+QgGEr/XxpvK9b9S9nJFgUDBrzEyPRQGDAFVjM+
2YcKNyL3I7tagEAXiyEDWoKLgKuSd21lQ/Vk5XX6RF+5vRcg5TmaBhmeXd2IvJWEAA+DG3Mx7X5L
zp0rccLAL80DoOs8yK20v9Q1N79ynWK4zXEJbWjSNAVTUDHse+pqaYStvWezyKcFK7JfLhAWeodn
gJfYLlhE6d5qBqtMJsE82Ut2eZ9zU7PWcSTmtghmvbYbc8vyM63ClbB6ymy8wep2gKDxQq+TSRue
uqQxDFIznCsiBUhTbIgXqzzN8ke6hicjj6W9H3n8a3PVRDtX7xZYCQNuLr9ob3y8ZNsUfpm/kkCo
73MMYL7VVhgx321hhRYNPGNaZfCN3q1j8buNzFOOsky25v3kY5OM2CNwysK5TuRef7dakHjAdlEb
TTpxVQSh8+aMXvTmK/cGJSXhViYxz9pEOTxa5fXItcZdE65pP3FlrRr6lDU/wH76x8bqn5PLYP75
zyfX5cuXt+blF6IQf+qvE4uAAssy8uomBC0EmH+dWGQhAAPiq+LMILbzfeDB/QDyg0gDiEKChu9M
sG+ikPOBQ4wjiz9g0cGD4epvDHzC+fnEIpWmTj/mToQm3VNfxPcnFuDVuTU7IwKek2M1onyza+HY
Sfo4rU4+Vpm2qsg/rBcaO11V3VnkEWvVfq/T6SlUuefok1G0RnCErjxOMAlXi5/SfDEwGNINqnZp
QLmgzXu5fNBVgWiY+P5GgLYy+oriL6+/6oDtDsbw5NA+atBCaqs60iSKnx1frjWMHQ+sWfU9tvJj
lI9h4Ib2AFfLKLc9DadlojE5GOYTfdHFulY1qNQxMmoQLNhSmv51GNs3jJYcfkg5G69MIRbSqFpm
8Q31si8LTasQUimCcCLgrTZumwwEr62KWXsKECF6xPOqdctXj/bWmBbXHM191YC8XfcNFa9tZVxr
dL6mQFBKOmBTVQabNjZVZIl5baeExgtrWiWJ7IJRlchKNr87vJADSfLxM22mpM+MPlllscf0EdvI
zHp6j1f8GomZMlEdNGNrSUDAuX/X0mOb58ZNW4wN5wzd0BpdtzGdt3E3HauSWmh3jKl4oRc3MioF
huJ6ihxcrsrept0yab019fDLR4rUi71f2j2VD4QQoqqzLnDKphixpy9MxvNFNMQw3wodmUCV9lrw
dTcVPb5OTZ+v8CpuqWF4M6uy35hGjy0oLGWNzyH8qFLgQtUDl44G8gr9LXExGNTPM4bRXRtZ6iIQ
YxyKACtU9A3TD4aLljZgKohDioxrai5c6onxLHzGAE4fsqouJniXb6SqM57oNZb0GzsRkIYkq2i/
jKgTIDG4TZNiomtp2CSh0W0UlOLCNOtbTDnx2kVVXKeqUNnrWUvgzLf2DcjWIOqXz32jW6uq7bFO
qFLmVNUz96qoOUmpbF5m7xLdyV97k/PWVAP1EL5xVYzgYK2OjzJ+m2kdDYCwqwjPoKE5dwUN0YOq
ik7wt6ygpMl9106QkKLxTlPV0iGOHOAqxWrM2XAgnSInqSrqmk7qUEfHIywi9pTMPfmp+YoTZeeq
Imtzai+1XFPlWB5tGbRdL3H9Ovtwz9zRhd5UtL5zg4TYETxYWBJhnrBxE00NM4g10vkdP06Q+bZg
u0qMbb2O9jttZ6uzrt0xfxoL2F+g+rhNtR1xCHt+gHfT4VpBo5gSTeVusnVZdnOQZSWNbj1cFsku
JoEOFDaowAbYnqPK4pAmilPA2sX9UobnxqlO/eS3674sviZdfWda8aEwvePgAePs0uOyxDsTU1Os
xZd6iqxZzszztGlxHWnErV46w9rg793WEyQBC0ceRp0D1S6khjK+cD/at6M4cjf66nTutgWMx9Ek
NmWYzxeQkF9MtYCvDcUSnxiOknlwLpKl23pTNIV9kLpd91hE9VBup7gSC304TXlnUfj1gM1oxDVm
Ulnq6O3Q7K3Es5+jrLQvuraS0bWMZOQduloTz2HkmOFlCrVnl5NrWPc+ARRcYxt7MvlohJHchHxe
9qKkUHVM0Y1GPncbu8KQxafwqRf9foHbSqTD2ceMd6BC0XPGJCIZUoY33rKcp6LvAmoElgA1/1o6
ERYIeLibvEo4njLIeX2Ufo0a96Zx0M210d4SUav2lC3JwCUZg/8Or9fwUNvA4Pgt3nkhzm+/hySr
L9e+SI59NttBVekvxsQ5XhYjieH81hgZ/LoubPe11AiBteF5znQzmDuAeBo1BKuCi3J2KFTLb2sV
L245xBvLhEHkUgWcZOmrSTVwmU6vE1XBRT1Xq4Xy4FDQIoxXEm4axcL6dAJyvs6zvYcWWyw7nDA7
bfDOkeokHigndigppr4BsxNRE5f6YgM9dmWoRmOpuo3dfLzLVdtxrHqPG9WAXDCpYm2B1pyaCb54
vPMzhcnWoBtBPnLlM536NklthIfGPYVVfV2qvuVaNS/7iNB1bF6JmE5mO6KJvGkoQqKuOXPK65L6
Zg1meVDqziMhos/pSMMzrLrjqDqf8ctAv1oe7drjOpqcZ9UObVITXam+6D6ttomvmFzeM07rZEft
dBQ4WmmsepYrBQnbwMYBVczAnmz3zvUzC/lSvDmD32xH1Vhted0xVR3WbBEc/sVp21BvLTpwfn0C
kymh+pp+MM5n1hfZsGCzTe6A18GHA63FhTijdHKgQzuzeKt12jQbVa/t0rOdG9Fb6vt7m/7tUuOf
hjRydwPdvDR052a8+0dAfBcQlevqd/Nkk1Rl+4uJUv257yZKS60L0QhZ+wMD+GGipPbDIrGvtEX3
u3W/+4H9u2H8BSFgzPs2ULqIi9S/46q3hHDVGPo3Bsr3LO4PV2AGSqov4BIIi8wAfoQfB8q00TLT
Xcz4nOto6pcxnQ3Pk6HHHu3ORN24A432xdLXzrMTixEzilawSBonoGUQINsHPxblne8n9gI3rh/L
rVW43WNr9QZnMwPexomBo4pEe5hM+nymaBGBNM0sMCfn2iM63kfGuR9oPpHzyxgtL2YcihXGLqf1
8g2B850p8+RszsxERuZspoHSOa25wFXFtbxlSRM1VK9H+vyS1Q02MDYINDxEqsaa2ooZu2lAqEgV
UNOWULjeyu79g4i41A8jDVy5cysG+zZPHGOdWbhCw+lq8ZqILKXxUhf1XWWZz7HHdqUE07otirRf
oWkuOy/x8wAPO85QYQO/d0+D134ycwjaTiFPdGsd+zjjURya3lq0LmiGJmpW3C69oFqyW2KaH2ux
VJdWQzPEUnAQNmoP2NBMt6KfFhlAsqXrLIzsUxHJU4GatrjVJ/I8Q9AaerXu9eZtaZuZRc0kN17b
72Wbkh3O9wZPsMp1Ux4SfkAj2ATLm4t0yeI0TvkZECAag4hU7T4p+G9imOAD+uVDEWdfOKpuPEH/
WyU/G1l875S0DHRdKk4hrQasuG6SSlUY224csGYOVxEUgEhZHEopbmPHuRcNMG08cF+csjiip9xW
s4fFWvd4KhBAXjGJpasymo4FhOJOH9kxlsVOJhrOadEvQUdIlp3XQ+q0OFpBtmx5mm2cqrsrbGcM
tBGiQax7W1G7w1WvBmV3buETN+LQEYp8wIo/EUfsb5aBzZONvlOA6lRVJMz8c/+xmdPXcBjxrsVN
T7BX31K0/OiY3ic3jAKzMV5kDltpUl+GPtxqM1CEcDnLLGFeMrd+eM2HtYSd3p+kn10vs0PzCrNZ
QT/XtpkSBjxGCIJW87Fz+NgZdnoqzZKOgoYvXPMeNZdbSmePNF2kUxhojepvy67sKj9bfnOkFvJ6
aJkTCTpjuHXFVrPqZ1qE17Ftfsw7idZQwnIdnPOcjHCKnf6o+dith5rHb9jes6h8dbTpsnH6N1Cb
923nHoAgndIhMw567OJmkX4b2CXvA8LoF2kALzYXVGFvkuyrCufMNw8adow/1Q2GAUPPz2ZoXGMx
3NZ+9qppYeCVPun5mLVWbuXXqqWJx158dPOueIwdv+FSKs2VphfyqNGsFdgxPXEhdovAzfMXZOZs
083yxmjDT1Ir54BtC3luLMe+t5xk0V32BvjVXjyNTv5C1wzQUV50NG/SKlnL0D/EFM63Ut8JS+yt
CnQ9JZeXPS7dVSFIp85ZsRamQpQYrP/t+MJHczkmRlPctDQDthfTYCgzfTFQsWgtQD1q0g2p99jn
heQSlhuMVTjLt7XUO1DIfPVRARK4moR5Pc3igj2xcRXzixXwntvnwqUgyh5IJDLHTo9LXUS3SFPy
mIrU3nX8CDaj1OTeYL26olnAtcCqhhEUa6eL951msZDAzSpZV+jGVkvDP7GM/8g+5m8F68vyl0j3
72VqtGi46TCcTDi6KqP6F+WCBaCDcK1DKGVr965gf5OpYQuxfOPRjiTk4pTDWf6vZzRoeEzfaD4+
QKC/F6XDc/STTE28woMwx3gIrghzwk+evHbBPt3bvXMVWcVygh2jV+yNvbgWQBbAoiyrJeyZ3DUk
WLn2utAtYZLnXE96Gt8Vg1mXl16f6DnE3YjXiIKWVZeAqNuLFDItWSVI5stoy4k+GdjEj2PPZXW9
6BENqujUml8dWtEQ1vcH25lu+tRlgI+1Mtq6dqMF/VQ8mjqkZYvbeaeesm07dDAZCAxwuSSMH2nt
Nuz1+7QwL5vCIaOWE2Wa9dtiVpdPg37XMqyQQ/JjUYcnY5weZgzcBON4wlRVvuurA6cyAN6oMleJ
kyZB5qJXy8nlTughU/Xhgs1hokve9a8NHSiAxImh9S2NnhgfVrpPacWYexcNAFhz6qZ10g+fOkDg
K6wLlF/oNhjm+boti3k7OgP5h97HWT3UXWC5y7TOOoC72O3h5LA3xEJhbghAzWtiPMhq3vBFE9OR
+xXzO0h3NHPjyzRRqonrcUs0cJ/YIJWpn4BYQC29sumQEiSCXI+ntofjNiSDiZZv3Wk8kWq3N7c0
tQc55fTc0MPqAG4wWk2ivErN8pYlH+H+6pjgMo9p4FsNPC8MF1ZOL1/FXDE+xMO6szheZIYLkpZ4
WisuRJhvmsrjvhEuGEa6KWXMKLOtN7soTVZ3mUNH2WZShXMIqxlR9Ngz8wDU9LnjzFay1pzoenLJ
qQi/C4y6uxj6IeX+2TxGJdaLJbOP82zcddG0gU40EDIjllykt1ExnBLbWmdu0q8c+pm4T89yVQkt
3DdZGAf65F/rduluvNp6K6XR7g2mbzpiyyvboMsjpqSysLKP7IYe8rRelVV91uIKrrPPFlFI+rw9
maKw5Q+jS20YS9Ret570qi/XLifwMMq7KbNZXtTzylHw79gj2zO3KUqRbsZHgkfYtfyFLfI4PhZ0
sK9Ts3ucwvHBEO29aIFKsLXeFbF/TlubEk7Y83bHlRjkNOreGPRuRi9KBmjC48Zpdf1dmC5AdtlL
kMmMDlEron3d1be9szyBLn8GxgRsI8GXBzqjxkoljEDo/cchQbA0MtKUpRNfaFp5obv+C/1U1GFF
tUnnknFHHmULNOW+avWdZpXXo57AvkmsO/Zt3tqjA3plUccYxeIycSstINO+nRJJkYFb7PCPveTR
Mu1xmu37oRF4+D2f+iYemlYOZ6Priqe0YNKcVcJTTot39PUZIdKAfqwvjaJ4bfMRNSA0pdiQN3ZW
jjZC+JrPhiEAlWOnK5v6ijH0I1Du+KLJLTqojektS/zbVLCId+jUgfQ8IbQt89dxYGocBvJrYC9E
gPGCQblVAT2X0Eoo+ztyKHx0yBzjp9JQR6tkBpJe2oGAUJJF04sTdwVFOaqqzfEZBepLQxNvGTj5
dTmxw2+UuGSjMuF//9qgOkVlsp+X8ql4l6PQpVwlUFUoVbqSrDwWTGuz54owmeIQYQFYgfviImKm
lwaaF+iq3YwGRgYaKjcFOjI9xGhkYVx/7ZRohuR7mlHRHK26r5SsZs2MEbqS2nwlujVKfmMvv3GV
IJeizBVKonOVWCfbcGUr+W5UQl4yjA++kvb6EhfBoOQ+XGtPkxIAJ5TATEmC7NTpnZtMVFr0QnN8
G5V8iOMz2RSzOMZO/jTN/EQNH+T42JnEK8uHd7eT1WoPpgCRGaGzzRmqw2LBNW/Lz74pnpdG/zoY
fBiYDO+rhjeMRAgl2bIDFxAVQIRy93pgEYDnyUBQGjUMUsMV+P5bvlVSnfF5wV22tYUKxwyauVoQ
x13u4OvY0w+A5OgUCL3pIEb7zqzCT7FLoq6RyVs+Aj0PxcgQDSNSlcV+tAoWhmCSF26h76i6f8SM
P8SM3/qlmZK6NxK+/74eUzGEb2IGOzBcx2BOwbaqQem7Sck0PuBRBrPpOM6fpqdvk5LzwTdQqlyX
p79SOb6NSe/JBZ8gitIx3vMOf0PKwH/985iEEGY5wEYs5evGH/CjlJFXMAVn4oBXubUMW/gcYl3q
7pOLsb50+0e0u4/ZchNiu0c925jY8Psu+hgqX/6srq8VVv0ayz73JOz71ph9zJWf31DO/hmLv9Nh
ocQHfagw/+sRZEYeLfTpNHh6VULA1I1nah6rV0OlByyVI+CYC1kQpejAmFLDqLkoRmjeqRU/5lQc
UBr5tFCDICuvCcakfsFVcOPH1kvjGJ+mYTYDp5suEe7KYI4zrh51eux75HA7L4fHWfeeE6TJY4F3
eGOMmHv1Kv1I/fOzPrvLQeR0WWD/2Tresl9q83lo8yufAvvZce/8Zpdhnar9soHqNX7s4+TJS7T9
qJePbaNFF65Zrf1WBHkxwGAkiCtnoFvJlbqg13Oj1oLxl5IrGNMjOwNnvPLVXbRMzIMotxQEwSai
Q8O8U/E2qkK67Kk2Yw6/Kt0B9uJyaSgsGL7Mzsagk6UmJQYiXJV22+4Hx4eMNloA+7WTk5fjvuxo
og+TfjOW6W3VOicU8mUrWPfRKi33dSm/NCD2153Zcsdu9F3jLFQ3D/01pZh7PeXxpIdDsYsLykIS
+nRkwetJNjt2hG/bbV71ZU7I9UKnpu6+pBxgckKYSz1bvC4501x9lVdi7aR4nFhxnMYoJorsrl0b
H1QnqB6ROlubQt1yo6WcAmccsG5mhG6lS/sbHt8cZwRQsDnx6anJEew794WKmgO7t27btzR96FwN
TXO+GV2nDVwDbam28D7Tmijq9LYwmJlj3jmtsj7aaN81vfYb/IbeqdaMg/TKyyqlxD6fHuK2fa1q
+InGOIfrxXF4XMK6CeaGwSRLuwPFlJS/g4noE0SJBZdjkMT5Tch6LciGaZ8b9Kw1XDhwWzkjheYH
y0xSti00wOTlsayqs2hitC59ZxuSDhTmKcKgNJdI6y5dimcYGsfOGC9LfBgrmpIuWEyddGIJZg4h
QOoVVg7vNQWX6ccRy1VTsvNs78c2uat67SPw/oNelBc9CUd68Q4Zjmi0hOeilR+drOaHuownYTVH
qy8v+yHr6C6fbmQ+7KYwOYneYQEx7iu/PBgKkzyLPaUmF5GgAKaB0laRpx5b/VqPhdz2C22xUfdp
dJlZWrEwVlHS1tNVNy/uReObt3ZSHbNk2Itsxlgj8/4AXvUs9OYyqlyqXQZqn/CYUyR115btI4/E
I8S0yz4WeFnm20KX6F/80mcy3qJnPUaZu7Ojcp87iXdg1bZzhlG5h7tLq/ATgFfWjaCJhlvmTa4N
SGx6HcR9c8D2/kmfyHd6upRr3+xvx9g+9TgmVzADqLtc8k+oHHu351k9d2tQQ1zOvOLSks7z4vm7
URvpxGVMS4anoun3ra1/XdqoZ9nN3QMpJuESzNVu0Yr81kyYRSBzSnPrlTZn32RZF+xzoVs48uhH
/Qmd60AGq8O570O+i89ikMcwAsJI1cflGLL7TfzidUg6QqKNvNJ0f1eX/lVD0h8tZ9rmtW5sEtt4
oIH4NIH7sDLtygjTu0W9hUjnrxV+9rKN2EaNRyPSHid9ONOqfqVnrIkcl53uPL6YGtegpIpINdRM
4B3vRWPY26KPkl3t5c+VZV3OPtdf3EL7rEx3WVGN69YxHujvuajbYRXH7INb7WZACA5Mce9GPSHm
5TWV7t1id9GpsOvqoEfhbZUXl1qhh6uQAlWx2M9G5exg1q6EhaSYdgAuxmYy9xlXWtOM3jImRDL8
pX6c3fmE6G9uDaOyt3pi7VwMTuTn4wo5nNneifR9m/ef2jG5q7nqz310HzbtnlZVbn6j91CMyY7v
+Z5EyGNXx8NhEtdZRrGKPgDkczBO5tPOFuV57KL7RF/atecMe428dbd4h6Z16E809k3k86MxzhpN
l6uY+p6hN++IyHkb3SB15zXw5waDmIPlXLaS5/1GtpopN/1YJw92nnQc/o57NItQ0QrksI1rB9sp
VWKJN/DbiUZBZ9zKafiW5rnaMzDu3KjwrxFmPRBxQ7FZtAQ0wlCT7BtQSEHlvQ6sWIVTpFueMDSK
sQSBTyWDCYnfJmITxmwuJ9nxiBn84SKVE8xHbf5aNO3B5rd4lc2k3K0URJ6TTN7GBnQ4lJHJjd1p
qP1BETTi1tVWeeoQtM6jEwVV1blgs/wpNVw0bntptG3vjfZNOxJwkd5CWmKUAi/MwJ5yU42LXC+G
dqKM7gJ+wrXpZVsxpRvXXB5IZ91GdQMA2KRIzyoCUxIwAI74KRztVLXRbBqjJUiVTbteoH1aXfc6
wPI0Mu9JhNblMNKMhrIJUGTbhbDwrPa+gqJAYCd+4WR9IGG4p8rvrNvTW5haR/bIxJFi3MAJU3+r
kcdc7KOb5JdgkSwm5ByDC408FXVCPY/oZqZey2lC+rzttczK267NElauy6GKnJM9JXujAd2SVYfc
J8td6hnwsYylZmrd+GN+1008MMoZNERR3Bfk8ZEmsiOXThyM2iVx14BRaGdO9aELfUBlQKPd+ohJ
5dER1lECE2wsnrSWB3um+szFeJNm0c0UMinQUrxZQuyD3IaBfL7lsX/S6J+mJ5y6uv7Y+/IzLitg
NbCTSz25bUxgZSZ8U+pCSbOxcZ/0uzbTkMwLTQsAKWGPiMCLjttwYJcTUm/c+y05DxrCe/MTwP5A
psa0tclYWQiyjBYY8QpZc7pnn6TVByytyX405sbPelb8kQRxkT5gbN5Z3nKtD3j2ss64n0dja6XV
Y4kOyM0ZsIU2JF/CphwCGmH7TRcDhbX1qzCyCEbRYA0cfiNCd5f6ycFPdH8bRRCpsuWtmu2rrjL4
jkca6RyTD0tUjjbKEgoXnEdjE86Ody6N8qIQ6AnSo6e002+k0E6yw2GpRda2ban1C+2YZRKo7X08
O0/2SHeez0lDE9J0miaPArOxfJwA2VWa82SaIJmrBBAo0AFc4f02awdJbRHfNSjava+OnloliEo/
3keNTAO7yi4rmu6ySFvOmtkcKyOq16bTTuu6ybkpTtjR5xr5nf81E8w1hvouSqZqh2f8gGaAvaTr
oQipp7YtPk0Gv2ipDumgmWgjq2dxZWTJFSuRQKQiPrjx0p4IktF1NlmPtENGF2MT3vitfKK1UOzV
rzsIJRb+BU/zrBmsJy9mWVSJG3TE5ORb9IUb1SGq9HsTP8ZS2jq1aT1CRrnW8+xUR/qudwURHDv/
2nul5Cw3ucx691lXXiTc8DPkwEESwcF99wn7+a0/EcoqKvcqNSLibOlWumImF5k+1NJ/EpN1C5+t
PNpWWuDqcMqt2YmnJfcPPkweoN8JGgyA0qNWG9vSSFjXFWLYp5KVSUtjJu4ukevW3WSkJteIpkGt
BYIlTKQ4y9E2ppGEcHG/W19f/ztQjavYd7tgFsEU7vmUsBs84ykq1X+6QJmJrk+mWSTnFPp5UVy2
y7Tyxd3vX0Q5FH9ASby/iGPgbYTowFXyx1taFsJN09o2OevzQSswEMeU2N934/3vX4ab6L+/jMvq
VVA+pJySP75MqOs+twCdwd38OpYfNeu/FGn94u9H+Td0k9wNP66ff1YtoMUSsLM8FyMftL0XYhP4
y0rwi/fiV38/DQT8hPhBqX7YH7/+yFUCrV3nZ497h31t+6ff//0qGfRvb8N3P5+f3mtwWAbyPT8f
zDQa5GIWl+5aoLe/yXT9t19KUXh0cgA2Lgf/p7cC9rS+ALjMznq6x1HU6asKIVUEPIYxxP3+tdSX
/dO39cPboj7i3zn6dSPJB9eR8lyRuG+Z6AJ+tThT52H7+xf6xc/vhxf66Zsq3NSnDOyPF0IVhzs4
xVueI+pRXP2Xz9ovfi8p86VNTSGM8B7/BECx7MIsefAW59bahvJlmDZ2+Pn3386vPm7fvcTPH7cF
MnMZ2XpxLryXNHwS2v/h4+xTIkNJO7U/9rt28937ktbS7oRmFueUExABV87/h8NLBfMdUtv82kCK
+fGdL7SC+d4xyvPivozuVa82Pt1/Obt+9abzIYZlK5RFXAX7vv90YWoF6eAt+ZmeSJybauNi3wwN
SvSabcrv35FfvJYHX8A0DUXiRX/68bXi0CNZCMudPnFmkg3IphjGWo2mvjNv31/qn8WwQgn9deiu
X7qX/3kjwd3NVy/52///f+fmBdDqLwRP/tQ3wZOYEkq2iYAKK8dwFT7sGw+ZchkSPNBHTcfjA+Hw
W/lN8LQ+IGk6rG1J8/xh+v9L87Q+YARzlBkMbB6+r79Fa0HU5FPwr/OOxw4fd0IFPo8zUxAw+OkT
WTtECUdgK5c4m3FsLjIji4939ahNtX4s3BZvpqbP/bNI44sknJ+8yFiCyk0/WwMkNsxdo4sNBt1k
U1t6imelJkCXJik+GCcuHzBXQa2j7ryNlLRV0R2cOOZqrKzmRYDle6NFJCSTX9gq6wwpoOCWUKB9
bGN2z/WGYJLpB7IR+H+blL5f9oz+yod42r6zT7OkgoOaKiTqRPpQA5gF4Zw9i52EXMohqIaewVVS
bfM0K/W3dC1zDZgJJcawVyW32AoWKzLG5QKb1bCWUwyrlXaskyjlwYDhOjEpBbbT0H9tAHgt26Ff
mwR9TpVwdnqlXacQ0G+r0Dt2ChDrKFRsxJR2KtoS0Kg2ZpvZIVbbkPuE9Nmfp649a9lEmBE5aTVz
M4SYPm5iNutEiJxOY7lrzc3XzOruEqnfgTHNbabHrrjW6my5tASbs7raRpUTfyJ6ELgdwNo2zGn9
xNpjldAS2igNzIorjFl63Fx6uhOs/E5z7HFbedyY3Joi36Yh31ErNC3d7qR3p1W4uM7aNIr4PES4
25IKt5rF+rmbtPLWGbkv4p9i99+sLL8vQPgZ6JLaJY7z7eAYyWruK/GxpeEGX0/CjVF6W11ihaL2
IoBB26yWyq2e7LCHHWJoXF9WBVa7oJ2RyL/7VfzF/PNvzzxFIWKV6/kOpzrTw4/HH8y3Uc98UBGm
HldbaEHmC5Q4Lxix9fzZIvrP+acmhf98/l3Ll89vzS/OP/7Ut/PvvQCGxd+fSx2dMefb+cfCh4kO
yozDlM1JxKn57fzzP8Bqs5SXxucxqfwvf51/yjVjMJSrB5tDdP5v5aGAM/x0/pERtQ1YpKSvYLJx
Av74MQFLM4hOuOO5mwZui132WA7zLfZ1HOV+dM6NOv3Mr1hBbMC6Z1dKlYilhXdcqb9qsb5lLSXY
dGroHvinsaohT7noUIBjX5uIwvNJuhhF++JW+DLCWlmGu/9l7zyW3MbWLf0qHXcOBcyG67jdA4Kg
y2QyvZsgpDTw3uPp+9upUpVKpdLpirjDGp3SSVFkksTGb9b61jgER7xRxTqq7C+9Ed9Yw/IQUXsw
8mE/q1fCm+Ce7lK7OhhVm/MvysWvW2yWTL/hudZjp/XYkfqI3fIMKNZhMI9j8dil7h3dAGPcNHxN
WmKh6HJVMZ0iWCyljfoGi9GVHqnqBpca0gpoppPOCJSi0VrZ+jSShQ5kKmS/CrfZqHsOdMFIYqy0
nRbRsUOvaUlg7hy/nyvDN9JgayH2WJVGzqFZidvG7WD9uOveMPweZcEK+V+MGWbeL1oivK6IHIbR
y73pviL9XDf6dCQm62AP3SOI3tirEoCggE5QTs6k3VgD3gRzmt8GtdwPmo2fX8GAr0b3ocYhj0Cf
+TJDFwYFuOeXXaLbpzG2LyTWKCybexyYX1h4ndllykRpWVuG7dWttofZeqXPLCdC07p2eIeCGK+R
UiKtz7KLRrjXVqx+SacFxIHqEpqhanLJM97lunhKaKk4W0ePQaTYVL1GhutknyH9u8UVVmC4VO/j
IcnwcmJvMYK7amou2EmchQ2M1jbLMNJBKhuU28pgaB1N151rbfDTP/ZK8oIOBcAL2n+vqRBULnKs
qrf1uz3PN2qP3J+kgiMf0/mY2IxLEEGJd8bBfqBLU1G/bCq7bNe6wO/G3tBKnBLJh71dEmLfmqJ8
NgoL0247w2SbPot+5PulsQ7JJZxn6MpzDLyvAd9ItzFy9I/kzWfWAQ7QrrS610ERUmRo3JptuA05
+lGO1Yilxg61CT4rKDPRqlHmZK1EPb4LMEroptL7pONNWoj8WZkR6BuR69edVflulRNBnxMMQFZ4
dSB6IbzQ+/J+ap9A2hpcc085EeDgyNHUhNxRsDchBpklCalx9wHkWPz+7bQVA6NktR+F19dagoYJ
aECsVO9sJjuXQW3dEVQSBcnsd3laL3fDR0KQCfOa7J4wSMVNERis1hiB3cciKX1BwhAxqssqmAXY
GwE+eWTd6CTcwgt3iz6KgCJ4H+tubLIDQyTbzwldZ8ZrPJWDmZAizeWWRXyl8YtZcJcbL6at8ZQ4
X4eOO904FXlIJSuPKVpe5b03rkNnDQ9uo5Ks1KegxBd47n4BYB1Pb8iAyL6YBCAJcpkW1XmIyWmK
HDNYdSQ3sVvexxDMGwa+2VReZnG/qWSaz0LmU1mx01RIgRJRAWaWXKhUkNswGxqUZzjiCak9JEi5
qbtrDEH1EoxfWkvcl6XxmKs23BnSp5IMB19dL4tcQN2bkRTcLSBrmLNfjAHxVcVIkFUaZecqyVb8
vzrCpATHemc+MSesVnpN4qiRvs/kYlWJfV/V8ZHC7kvTkriu5vbJIknL6kt1JeoIzFA9MoTtQsVT
A+2LOiXXDklcfHhEciXLuOpS+y4fkLkvmdF55uhEPlPGNWhKsXZNd8HMV6/Ljotp5tKziYlpI33f
hsB3AP5cI7ojREk7qATLBH13nsqkGep3lunYeFbBgKfRiPMMGoqTrEWuLX5AXI1CeMimdOtk0/Vu
jLAQ+75Mtxlkzo3OjHoJg8/KnJ9HBOEoMzYlbZpf8M0mNzNWL68ZWSq2oljlMxIdO6xfRoYo7LbU
yiPC5i52rDM0aS8xiFcv1NX8diqanVLod7be515Q8WlkdoAPM1XXTkB5ZY17O6+gp1j9rkq4O1Qd
mptRQLDI+K6xDqJsy9QQz0OD+5cRbRYWPu1Iu2mDrnWf9Rx597/QwK/5OHKw8auKqM8/t3+tiOSj
vq+ICPREXvJRvzhUJN9XRGhgiBzFnKOrshj5rSIS6icBexosELKV3/rIbyoYiIIu2mPX1CUpQwpk
/oEKBr3NjxURYhrM5rwKekw8Qj8UzkC2i8IIZu1kovBKd/EAEqZ26vSYBJknZI5NtDzQbXA9d9l2
DN0HQPPtKo9Qm5Xh1g0yku44Yhq6Id8omytrKLeuUMFRsQvKp70xteulh1SlPJVhyKHPKRaetMTF
TI1V2bNM6gdbY3actigH4P29kv7GyL8nqkwEzhOsINwqhgIqeuyeljLfjcR2rQ1zuCQ3zPBrGOb8
XD1bBpRmOqtbQYPAhZzdF0oPJaFR3+KqfR8X/dVRWJmVfRqRizHd5M7EETZhGZiVh2YRdEVLTUKe
5XjD4l4U1jyfKSKFNMp1NBXo9aeAGwLVL//RvtPXCP5i+9IMGtGdpY7+M4YDGoDWyyPyDRDnvqjp
IyliUQsBnbTU2MQTZUGcWAd216w5QmfhmanKchIrscFY35hHFq9G537WYtzSfjw17GWKIUKoB50G
aXdNpB28DjQklU8zPa5o9uWiAW856Wcpwouh0TxLkm/mEAYOChNoOEvWXA2SkNNXeHY5V3irsBOs
WknSiSRTJ5d0nby2HssF3g7RCqMvJIOnLPHAd/IWO0lCTyBZPZak9vDdFCtUIuo6AekTSbYP1FLU
xwhRj4Ek/4xu3x6icLC3k+QCsW4h876WtCAlMoKtlvbvuiQJ1VHde7WkC2lghgbQ3yvdceHzSwaR
RgroKpZcIqFab64kFfX4NX1kFPqKCMR9psIzKs0ku3SMMPVJecBprZAx52Lp2grJQkqH1tyigH/L
JScJITFeDclOsiVFiXeO24ckKzkwY1f6DG0pUIkXb3EZ07EyEzE+sEw41Elak6ymai5AD+HuWbUS
B9U5SnM2SrpTOMJ5ciNEW5VE5lVowH0+PIHP2nyPmXeuBKgoZKbGVmrqAUtJklTiVtRRACO+qDnS
dErvCMM4klcS9sjRrcQAkFGiqRJJqUoKNNtcc+GhSXQ8wwscQj/6QFtNknKF5r5J3jPE6TsgJvpV
ScGHb54UlS5YVCQwVBSNOt1mihaiQsqgZBtuimKrvsf/FXrqEnSrkqQqv40mNFHtkxLWD1lZUB45
LpOLnKCoIS8BLKrwvuw5udeK8jKp2/h5dlnr61EYIUZw0DtXrOwWYJ0Fig6TAAivLOx67/bWW5QN
zwyDNmPo4Fhzlfcx6aR8O37C2XJA6fUocWJblKaWl+WNPETcI2/Fvk/d95LrVJFThS53bmGrXtZa
dKhwzq6KprywVfGiW+7DkCnADZvpslsaZ+80za5c2pt2ce9Ijwh8taOeqfvGH5I5Bq0Vz1tDZ0uW
FBQ7Tl6cjcwqGie6DlX0+3aIjazPjPrMVJfPhDFK6pm+i8vokNrByTHGozIZ9XqmK+VKQa0Lx4aS
Js6KlUCl8yVxiIi00i7ZhcbAJl1AQ5woyA6WhcBLWCVMBzP/4rbw+HO1L9hR1pflqNxYbSvFvml8
CJFhEC0IfTudR4eXRMU3K521obi0SC4ew6ucDRFxj0hTPgBeixrQdskn7WTIWQKcY6tilLjOwCqs
HR0pCydMv20Ti4bInNxtJbTZXxIaN4wdGSeMPW8lCtYP2thgxZ8LOEYJ6u3GfGewtqxTsezRrJyI
bjwD8nNu9lPuG6Oqw5NAwm2oVbAh7DjeRLapbrMg0NZCLQGXWpMpqfTUZ/BKAxRFW92QxsSEVxvl
XLX6OMpkDgOLVER+8FxxSqkyzGws+E3NZjB30TCFuKs1a6skYNqSnKa2DvEtkm4twCuNv8U3/Dv8
kdTivy91wHgxDveyzz8j4siH/l7vkPOrOliRLdNlAC7H3L/XOzo/YuwM1obqBgLr7/WOwdgcy5Kh
Ylz6qJOYm3+rd6xPrLEMnUWzakj4/D9CIDJN+rHeAVVKxUXlZJo820d0wXebJVsLNWCcZnnSHUa8
NGIymnee0Y0QXapPobYfg3STGfO+yAsIXG4RPeWufciHeOO43RYG+YVNHmBCrNWicIiIHNFbYpfn
WWyXJwDJ97MqHh23omBv55lQExAlc3r7VUrTEYSShikJgIkNnYbczFWzJJXqI89AXeCYxAtqk3qx
RPGwdhcxbCO4s0QJOcgH1A7Rn+ZydaLB1EKEEmiVl6CMGZGY5a63RmAxJEVNDGtQUnGUUfabpERh
XhoG9W7QOqwtsz/qXbvuXJF6lso5hTvpBQFt5FXScFq7DH44O5gjTKOkmicvbuw6/hzgPQBamrKM
i/YYkIN9ViFjVvPJLwtF3aolsfOmqYznSH2JKRsAwQuCZOKaqHYl6zSvCZMTed2eKc/bcSHQ2+pv
m7jmgE/rO3xmp6rWgPgaSDWxxW6MOuhhEYCBLpSs8kah1h5xbfMqrftjVcH5SecSos6gbKsGok+h
4/QZrl1OObBrtIKkJe1so6aYTOPXQTOOYbFcLHo+YL0Bh90nzWPWKV7Ql/2K1cJ5j3ObGzcriBCD
lbJMnVemGCvbEkN31SUG2UvWHs3eVRrMgHtwG6zxwfq1yJ3NqJQvtc74TFdbgmWpnmrIOATY5xjS
taw/M4wFm5doz+qB70zQt5d1bHUrB12Qpw5z7wuYxW2B2y7pt3VtHG0zgjXrlopXo+nepVqxTitl
2yTKZTqV7XFJGe2bGEPQbFrXuqUf3SqTCsdh8kQubE9Ht8iCYGEiL7oWAZXKKnUM/DZsbyeXDfSQ
FMdQBM9zPcybTHG2YWtYa7NT70VdPycGpBmNBf9cEyjpxOEVRci5NuXrJZwu6tZ9bayxWudDy3vY
WvuwBiizWOZ517enuGxr5aoEG7W8zVOW7rDxrt20uqfMqymbyZGPF3Es+rQ6JJ37VKbqNdLuV6ea
vQaxTLWEm5Bqp2rHg9spm0bVScGKLuKyPExJe0GG5uVQIGas26jnttKDCgrM98VSepJ0RgPybx/Y
eMWLYbnRreWI3A77SRaPmzA2MS4aFs8LnjNrtqO9tD6JxtRSxmVjPrVURoCi3buCYWCWhGeN3qBd
7Mz9yKgirJbLftF3wYCDajb7Kw475rPIZ3WTwUvMAiSog0sDATMrP/LuIHeUfXxta7YXzOHNwoCQ
2ye3/4iRyUon+42PC5eVG2rGhi1KvDFSa8siBfdXhqFS1yMHQxiFmtLzzUG/D+4P++cqX/JLTEeP
tijey0Z9hezNVLvM7kGKn5saDJGJimmNpZ05QEPol51UXxxQe+duSkrhxARpVtXLvMy5GOxaO3HD
fiPBdPKRYLz1LYPu3Jqu6VKqvVEMz1qZb2qhPs6xDdCToCKSgNb5xPXiiFZQJoQPBXS7dToW7J3m
7RAgmKqaSzfOzlTAU0tLkLZZBxdQeMixstId5kn3AOP6zumDNc88eHAnbjXV1LeRyWBzqbXKr6Zk
8mtFP05cBpfQ16/Nud3h0GLalg1UoKigdEmSjksmMKbdrfldY0ZG+BFcbBJRzayvmxm6IfXwIQi+
h+5LDCCn7YzrlPeE+wAq3hAzdZc5l3mnbwgS4lMcUrGqAjnSXzDfj0Oyjeoa2WqSkb7YKa9Q9H3H
YfBkmiwXzfAiSnTgQX08nAlFK3w+0Hln6tP1RNaallfgHctYW6Ow3iEIc7hsm3A/If4PFGZ+hIHT
pEsKxrPaLjG+ERRmkwDMKqaNEsFSipm/E/vshZHVg2mSQ+qwfUn1iJT11tg2pg0ysa6PYYtOWNer
m96czoXaJh5EgG1fcNan1cVYVtm+0kasGNO1Opc+tpV5A/fyrKzdnaIp4220zP1m7PW31EXX19r2
VR6Bj12yxfA+yoh/6yk5zvn7euo6Ht6Qp77+RE8gH/itmtLEJwoVoQtHFcxo2Hp+K6Zk8rINY0JQ
zKDskJu2b+s08Ql3pwTIaCSuyXX/H8WU8UlgNCev5Wu4MiES/2B45P556SrVBDgKZKqRa1nMVawf
NSd6gQa0N3Bol3Vd2edKpsxA8pn+tLm6RmybntxeN1KE9wErLCSUy0bD7Wtz8UBAcOg9T31ZK/S6
k7I3zcI49jTu61FvizNSxPMbdjbjqZ9EdV7EXfnShd140PMxvRHaCPiiTPD9dJP9Fuix2JXCCTbE
9smor7orn1l8EfquDExem7FasZLbpro2rpesAOPMAvtdMeLlWm+tuPfcCMhdMWvZSnVc9tZWvZ70
hNNETfDhRHZ6med9cKszu7nuP9iramKmgFizDyrrUkUQWpuvuFaNEGZKR9GrKOWRxgsJdqVhg/Jq
2gBfm0ZzRhVpDiBYFnkwYS2LOOXcjOvkTkkkNbYeUgiyE7SqBlWxJMuaEjKLbdPYCwmeXXRdX9sL
FJNqPjhdRbiaFFWoQ+OaZ4PUW5AuifQilyoM4nsQZCi1FGfMcWEY21kjUXDGEOGuy0VcL1o72Dtd
ajxKxB5dktFOkwW3HE2sWXunduLhmsgybTM3ZsEhEPHFHI+5m82F8nWV/++JYKAx+/sT4ebzS4PO
qOjKnwyUeeS3I4E9uirntRIS9ZEp88eZwI8ci+37t5/wqG9nAnt0A3gyac78j27K7fu3Bsv5pDJo
hh9iOowmaM/+yZkAzeLHBovQKVu+OigY6JVMuYL/rsEykqFgwzONp4kQGU/0MXKMIUr8igyX3J66
TaukLYWJKYanMcnPKnI9thZNG3ugOJYFEmTCwtGuw9DyFYdrIZ8LW3Yqyhkk3s9moC9k83Zvo1W3
vo0pYFVlwY3RK9aRSEuCngajZiAy1Be0k34SRvddRFKEWsQg2JwDd/cDaIr3dJrvx4hdtEjJNcHy
oek7N2b17iZM3+IcyHySUQYCJMrWkyqARklyHtqHt8QWd6OlPKeD8jYOUb2W6FRvGmfAeGX+WudY
LlNVuei4/pk/FfifqYhWg2t9mSNco1jxNS9jCY5UgDqon8v7KC+vdCv0rRKrpD0LxqF9N/ghGRLh
MYz3VmVc162FMSt4W6TTrLi0NDxJRpNeFKyTlyl5yGtjFejBS1SYt4MJdU5N3udQVASG6leO7Juc
Hg/nELZ3dGHIBPuOxNksyqCoQvKoXaZXjTXf5Ji61509il3rqIlnZBGuwaJnOV3CS8wpO7w2gAPC
4Kldg5nepZFgI6AY256N9jX+Pp2zkwYymVkfazEwV7NUjGNTSwNJyaw4RV5/WJTmugSWuRIIi7f9
hC8HPe66MQhVEX1i7vrAndP7IlTs8Ki3S/4ARQE1WIYYirdvWLzJYGEwkK/lE6n53uI3mKLhFHUN
xp6PLVf3sfFqzCV+BVJgK+AIMncXCy3YmLi5AFfHk8c8EPuGPlOyirE85ose3zmYp5ounnaG5T6n
8ZQzBgXqN4pEXytVj4Jtdm7dYtwbuUnvGdCAAMveNZp2p/QMuHp1NPwpWAowEnB9cpHXK7tFz9oW
7rpWeS+JnTxOWF6JeYxtvMQ2qTl1Nl0WM5ILpx+rWxiVX1oUrGd2qg/YaqK3SmMeuwiyYWLApIpT
MqdVqc9yxdRYZnb9riFMe6djt7uprTo7DaVd3KY6zr5KiyNvENVt6XTrrrPY5PfcPOiEyGdACtAH
CoNPzJHAfGfsYC6YKaOZvBySh2/GmOkQyzrwJUkc72b18xRUXh2N984sKs8o1BlAF4jUULjsFSah
7EFRj8/E5YyYDOtgHTtdsYVukr6kCMx2Gd6w1VI7hAFE025YUJg0HeOOdbPAeGC01FyNhhacR5gq
js4wX7TcqSDPopi2y5grMx+azaQ6EwZeApoVZ6Fz1lJck+a0+P9WqJSMmO6p1351P5LgfllW/eR+
xCN/vx/BuXYt1pS2/lGJUr1+q1G5H1kC7Ra3A1wc+Pb/uB/h8ZeQa/X3JebvtyPrE+Z/NN2cgbxI
iVD6ByWqYTM5/JPi1XR1UwOobUq9K2tT+fPvbkdtP5vmkDrKhW3miZchKyJDY1VkFvM0Dc9ySrSU
Il3MCXZmOTqEq8MUbMTqPM54njPMz4t0QaONTDxoBuVKlx7pusYtHWObpna9h3T6XKn1caY6Q1Lp
nFfSaS2wXAdYr0Ms2Ln0Yodddk1RWdMCGy/oJ0nRwrcdGOqVq+LkHh18fE3SPKiT/T4Ja9okY3WT
6ySDkXviLylaiF6xFz9360fRk38ea0xfUjAqSVjhYy0VWKswTzSFkUaqcLIGyL7aHtruYo/x2gxK
7mf4C5V1MInnKhuU+YrdnTNsyA8ZGQKUbceJVCdqBUFDE1jhoCehVnU3ldaAW2nn3Nc5vvBrGf5g
Fji9leSyT+aOQSm0ohJ8Yq8mr51NTa4KpoAgdFdGd0Eggd6Skx7Mo+uxFkQDMZc39qSlKy3XnxMc
oyxNsM/hxQNXWA5nVtC2h1otvoABSJp1kUWEIKKT4pZs5UK/qj/GqOwU1mg8b9WI/CmbbS+sNlXe
rh8LUd6zQisR/E7lOXf/2VNs1y9s92SE1b5gjttq7TbHlZ4x353M4JFWCxVPyuy3ZFjRF0Ldayhz
8Ly2MwZMRsWBhdlLlV0wr+fBCbv4MCAlY0LB3NLRAuZgo5GfEOPfIlSDrFoxh4B1cSY+bLCddMSm
H+bY5sMoq43OcdHnK/r9FDNdy/ZZCsCaSr0J0e4F0nG7NMapxoKrYBKmBLgyE3sPhWKbDv0OzHe7
HjDvdk5+mlxQFZPOeBR7ryAJvKXriRKzB+2QPJj4gO0SYi23NqhNqOlwCjOxua1wDjc4iBucxHGH
8k9ai2kAKs+SduMF3/E0wBZGOqNvJjzJljQn85GTEdMnbwnLsqHhtSlzaPrMbuEk4m6eFnZ3uJ31
hpWxtD93fXZELXOdS2P0LC3ShiJu4n78Uiitn7e3Ta9pnlu7VyHe6orFVFEtB8gW96qbjOsEF3aL
Gxv4EctJlvxxmz7n0rCt2Oy/pIXbwMtNGhyURGnvrvF5u4FW+irR1Iu1XIw4wcFAPujczMpWWZc4
xXXH/EL8OSQM6SEPo9OIp7xuxvMIj3kmzeaqPm9qaT+PcZoH+NGTvLjopUGdzOwvg7SsGyPzNGli
N3CzZxl/DXf7KG3uY5PvCQU7H7rijL+5sGUwjIMtzfHph08eJ9+MgFC65yNsY/APrfApwVtfmAma
T+m2V9odKIGnFhf+6A4+eIptYjjPHS79vAfTVXJ3N7QeXrOBU7t6nKWxX5cl6CgIW8bz72g10yeJ
AWga4zGGCzC2jZdJUEDpiCsDcgAslitdogTmZTiaA3CBCcpAULA2dZuKmCR7GzvpA9Ot81Bt7+yi
UpmLMrCFWKBX2TFi90es0EOaixtyn+wV0UIvIudSU5sjnDKaASAI4cwUgKj7XaYTCA0ngS/JoZTg
hAiCQhuom0EiFXo4a7legzzHnjlAXSihLyguCc7sElf1qOzJpt+pcBo6kPI53IZxQLBHMtXEgqbL
lqtuSNG85zX5bc3ZVPGVdSjAclgQMNefU+iVojb3HayIVlQHlAt7Ul3uB1gSJkwJ5jEZy+pgM5iY
SaFOpGq11ySGYoFHEegwmuBTFBJU0UKsiMr0LIZgMUGyQPULJo1uXStr1UugXQj2RgX0CxAsZzE0
jH9rk6+1CbOmX9cm6/gt/FlpwgO/lSaa9YlVJOt/XZWCc41++FtpwvgMCZU0yJG1SV4bXeq3Vtn4
RFCaLFr+qFq+tcr6J+ocMv+gLdvOP61NfubGEUTCOYZhsw/VUCX8uTaJCeRpIxAFR+yQSBFM1jlh
5/WWmR7yGPIvq8lhsdHxgCHRwVcU83LTI6MO0XWeG0AVP6eRzCao4RmzrbEzTbsctbYKV8kwV2RK
DIV7Im90OYRGn8X7upv1W8iWirnXWrVRVq6rdKc8MIJDOlsqsQNpmmg3se1m4owkoax9cYvQGo+N
UTXmFUXNdgBW/AbjEBVVEffc7AVq9K0qJ0Pux5Coq+duLzKd+zmo/xQZpbQTLcKGqGvXkXqmS7tR
U9ekgBbQjfxocmsWPk3n9+ocn5ndDDk4WCpOCjdwP/ct/DxGAwEqU1twruPn6C8j3fyMw/EZ4MBL
YnEGYyTMvcoy36ouf7PcUqO3zmvxCosH+Al4hToc98WimpsuVfrn0QpJd9NVBg5j2msesha0JJzq
D5pCe+GmY/Ayxdawg26v7wmni84BXyPS1xrU5nU/7ZeqqrcCG6TX0L6s8rRAKuMg40FNwVge0T8f
brW28KC0YxuA2czPnN4lojVo7CNF6bJPBdOKWMfCLoimtNmTrpqQ/YFBcii+Iww3dpGuK8d9g6+s
bJ1h2WUaRypzve0coMFWWjarYQCNjyCzRxERqpeOy7CyLaIwNRcMAWEkXdSMF6nBKlONaB/dTMKO
8Sz6iVLpJzVM0xtsXcZ1YVnFW6KK5pDXcfEAWxAJc1y/FvOQnP17an09tZjC//rU2mAifInbl5+d
XDz428lF2LSOiMLBjW6T0S5VCt9OLt34pHGY/RYj+ZEx+e3kAgOvu7Zgmvv7o76dXGwLyKY2HUBn
/xwx+9cRn8OJBYJNBk7jZ+eFf99TmZmqOknQLKele6idYCUnCd+9MT+xc8l/4Q+fomOq/KuqA4pK
6K7OU/xwMjIEsKqpMrRTOymI3DdmFqO0ex2G3a+f58+/yV+fR244vusOS0Wr6gae0MlkMak156P9
+usnkPS7X/4mP/SfIepFXSZKn/TJJlX3zka8xhTDVViNDD6yYK8dnqp+18eXHehaLX4jpS0ML/Xy
qituQir4rj6zzNB3oIaGApTuzcjSdYLa/utXKu+Gv3ylPw5uYyXA3SDfC8Mnvw3Z4UM/INjTxGmU
ggp0EPH8bkNjrPlPx4q/bgJfpv8dvhGPkc1hWfyvos8vS9R+7f/5r4+E8h8/dMxZpsVeBoCyTEX4
/sMgdljrBtWeT5w4kN41t8nOU8zbaNwqUVeemzCF3CcOSN6phcs/XmuI91HhEaUxqMriNWZN6Vux
diFfSD2MTMSabZZD2TcOY6AyddaVRLubjDzZGqkLjzUAA18kid9Yzb6ie9SHeqN1My3VvI2W02DF
PhGYK7mjgsG6bWDO5volKA3gxI8tjiWEFG3oHI0ugxZqrQfMhjopGoiPPHtBspZU69S8hT1bY0ai
+WadE8+a14OvstXcH6vdXD+2CQNdxaC0Lc60TlwlyTGZ8u2Aj/8uN4HeGotBJvFtJ6y1QNaSSNGb
GYcCAkNNoJCDJq9MsyespKs8x3bpmkG7TkPxHyAQUsf+3VeEsohz57sLX/xwuYwxDstuapeTujV2
wX457x6MLaCoU7vSzrsd93Ef5Ks3bwzvwH1kU66nJ2WPhmWrbq0jwU1ffQd//5X50+v56+X7wwJS
ZFlv5/IrW6b7ElHVuG7aFXhR9T8cR/Kr/+M38/vj6IcDz4nzJYtoCU8K2Wm302sdkmDqIfMm4PA/
XIV/fou//krfXwSM076/CFxeV2O4sX6KGEkh81n3uEjo5VDvoEo6sTb89RP+7AREVUdIneMSu/mx
4/3uBMyR6Nt2ZuinMWkZ1X4ZlMtfP8HPDsDvn+CH947BC/GOoa6f2mEtJf2j4jGj+Q+/xX96kh9O
WXdy0UUwbzy5w9lSHzrrVreef/17/OyW9P3v8cPxOHOvxkBt6ie48Pg8kd1bKM0u3Gj6+rv8T+8/
j/FLU7ble/ff8l9+Kau5ITKv+79//mP79c+cwJJn8Kc/+B9sg6v+rZmv39o+46FfLzz5N/9/f/gb
IeF2riAkfH7N44KhZ9fEL53+17GxNJf8sjxCYrr63Hz5uciUB38rj8Ds06AJ9Ae4ZL6mwf5eHqno
InQVuSgTX8Fq/Y/GzvykAVHAcWO5PxL40UWgZECRTyv2FVT77c347cbF+/i3p9KfLylOSbw5GJbZ
gNPckfb9w6lkRChoujkXF1H+vLQX0/T03dvy2/N9f6P8iYgVBxCtownBAcu0af9wSPRgN2G+Tf0F
6Dsfnc87N8iLLGD31nTvHVhypsig4QQLPU0p9tihd02d+L0NqMlSrHJbwkot7IbJN4j9PtqItnpV
QHCudPe8N9n7tF06rpYoO2mDZqbnxtDVxinMW0baMiks5E0koYNN58YA404CjWrup6gN3kfQCoaR
R9YajQeIIBFnr7WeBSvCTgD2YVOhnguVxwRhG32WeOmjKd90GiEDIo3qMw3fAWmPzsmubAVVbPNI
3K3hQ4mJVpUQ42UyYRQ09LLbaA0JQZB2z4Ymfk51/dxEEuG6+Qxsdah3WVHuiqJbEIPVt4GZMY6M
jw4bJRrT4llR8clpYnpnfo4bXCovIeRt6GfXYdXd2NySFcY+Rs3+T1V2RdUfukqlfevnqyl1Dsky
UY9BAsUZcqht+3OgDbgUbdT9roKfM/7cgWhAOoXjw3R2GdJXBeMjI3PSyvSnNg0JGLF3eW2eiwLY
WqMPx4xYESs3GP/WO2tGaFYK9z4hvI6ouOyyCbjFtUt01sXqU1XrUvqfHISkYWWM0fXFoHVcGKlC
vPaidor83on3cwY00UxMk+QW+BV1TBSElT73wmUl3uADCelBiw4oY1gcJgSqrhgeRGl4kEIvrNZ6
arvllMYk9eQUoH2Q04UPx2hs9iVOpZC1M0RIxJLuuMsG5qZ6dgNVB8Rtkj2wmrvXAvvBCvpN2VgH
ZzGZYjfPlujAqnZQ/4z2qeSXZ2I2bRWcXykJUOgwvSYw10Y6nVcjRVpfh4hpZvTZndOC7rcBnFr2
M1cBSZDJUxiQfjy1XbJR+p6vTf0+l8nO6Ug7N6rnvlGfFAXaH/l6qxT71jC5nmpmX5Y0uMJ1u8DK
C8/TpEm3Wkjyn1Bs1G+uV1d95KHATFZqjilDI0BZIVGdwGfbPDpTWxxishRYBoMlNq2bxBWPfdWG
G/h2GIErefUk442qgWzriaTT6xGVYI3wU9HM68mBUtkTvXA2hGq6miyj9d2sGsgzigN/bInu6HTY
f0QXqCR7rt06cL7gtR/8CI8LYXMVGsN13gxB6+WzEsxyqhpfTE1sndcVZEGXt2JlpFXoEdgF7zMr
o7WIEDJmvaL63cK+vuiC9LpET8LwolfPmJ2snGjWaTeas66bTpWo2n2B9mqlGRLfodftDmlZ4odx
f25pIcPPtCq2GnHzwbQgSp90wuxEVvllV5cIj+LsZKPwIpRHaa/QaIfe/2PvPLbrRrYt+yvvB5AD
3nRxvKUXTQeDMoT3LoCvrxnMzCuKqSJHjleNatyeMiUSxwARO/Zea64gqL5Z8/SlCYxnJ623rG90
SbR84RElSwKDcgxSXQXxr1l+alv0LrIyvymtXuFRdYLsvk+L63FoxgWOxgszJpgK4meTmEvD0fpl
WRUHp3ZYEDVetDNeFb0RAq+REmiyTutgi3uH0ISEQK3uiIkOiSkhlJl6DwNwYfTyxBBkm0Kk4G8Y
xbWxzHMNbGpyFVaKGTtfq1HRF8ASWvIs6jG/TbV8XA9MSAzG0guDiTbKqDldzXHcnGY3PRt6tYVL
cqXVTPoyGI0ip6/DDG7JkrfTST2DG8jhI5sgoUL9z/V80ZN/ki3bpo9W09jlHmtOvx9Vu3wqzI4x
Way8oHlWl1OPg4HLMTWvbPMC+X2DvCt1hu2QRMOmwJmwYemP7oOaK+h9dlvksMc4eHn7HgTLHmUz
4hEL+T1qQnxVMCrN0rm16jLhT4mJ+hcUAQGKAXqJtL61g+nWLaz5YQ6KmKylsl1b5LH5DmTebnJR
4asgs7HvEznKD/rNYPUPTQwVRrhTPC/QXiMXNqNuaw4FX/GINIiQq+WUl4/2wEyO6C4GTKu+LcH9
Ofu0nu5UpENDjMinrKK7PtNv3b72DmISA1GFzAXLIJsWVZ+MfqWqj8g1jKUhzPqhtyuAsCWezTTi
RidFBGl2YDzozAhuAt0Sa3TQ3iKh6bj6eHt+V4uSjkeFoVFqeMDrAJvQu3lbwet5Ds8pTIpzl8II
FvPOssersWnXH1/mfWfhr+ug9rKgOvHYvy8COmfOU1rB5zzLTq2t37EqgczNn1guEQ1OnmS4ZttB
VOvMTbetHsE60n1s9QdWqiNHRDqs6VUU9Nd2ra6MiAA+cB5FGPwoexvzKI+AObtnWw2fP37pv/2E
CKV2ILxZgCMpFd9+Qlbel3HnpcV5BOoRTrdSYhmVnxxW37FeJJ7SQf5KqBK6WSKwnXffAxk51ZSn
/XCuQgzLhEXvDHoZYN1r9o1hAKGhDA8KhomrwuMeJJ1zdEfO+lPFQsVMfk7ydaRgXqR9490U7Ep9
OYCkRiLKZJ+tXE8I8CrDc6zEexEwKh11nhs7Hzn3w5K4Rgj1nHbZQkPJv5kRvAStZq+iLE5XaWd8
U8iqB2TVL1iVbLhQnrYoa7ygEQowtiJKm8jewW36gW30WYDz6C3QAcLJThM6ed9xJmWramNygniU
+7NAnEYDJYb4DilEi8MvQa/lt/VosX9o2AFyINKtXXVbWxtX0FkXSOvR/ydOusLycsEEpViKmc6C
ZmTHQH3uzXVvOTvWxUdXYUbnYKaZEvMxM5oI8y1u0MoGDKWoy9mk9BA8ZhAOSM8RSr5tutzyc03s
acY8p7EefcO+sFHtOl86WXTSS5ojRluvwRYTxoxCPrftDFkf8a72LA61037SKtB+ez/wQEpMFG1Q
AjF/vetgfJUFf9edUfo9G1gXlnM1ZGdbqekZtNETonlaCG200GyB2eUVc5Od+FSwvTIA3UKuOnU4
IvCRn6zSfQCdEa1bxtnrvldJL7Z0oh5j5ALoKUBjl2a+pbdPhpQWS0i2Qj3CQgTSvsAGXt+EOdoz
ENOEORI+DOajZuBdr+185txnPyNrAQKmlQ7saf3O1idq5wnXe6ctcYrSaSEtBdOJ/YBdHcua/p2I
E5KrRpYBLyNiW9wGXnJ0hmZRExFl4ymdBf7VSb+xhuGUJtFNHVvXZF9t7Kl7cFOcDtSN6squAUpH
9bBqe4R6rnQ3G+hFVBTWS8zZzwr3xKLyjEfNUB60aKiXdUd3KnIY3s4kMiqiXGlms1Ghw3kE9eqI
PtiNlmbaqQvXHQ8ODJtRG+gYYeniVHprjNXZc8WuRR6NbfRbjXa5cEhSnnidPZanIb0oI3F0Cns9
lhDyHYIFYiShuhdf4YdKdzAWVyUSDTsjOr2ioCntkHMJD+OgeFdj3b3EjiITlqUeFZRH1+N8a8Ep
MW3TNLIh8E7EBi06VwvzlRnOWM2oUNOeqQ9IllQb74nClpnnl6DD/TACz5sqh5xdPBpDTNbZ41AR
/AfzztuZ5lLT2DWzYATMDdO7yYneVOoEiLaySUb3MCeMwrwYkZEWSrwai+6sa+tEwyI9upcQ7LZh
0WElr4+F1L92XabA+pa9wszZm+F4qF5FRNKsjpdbW4yQUqMK/3HLKSGz0fHlq7J3ZCTGpW2tHDKK
Rveci7U9rUtziyvqvlLJ+M7Vk03GMUJF85hEI7TxIAgORMM5ixaM1sLBbg6/CsYIdcMWoUG7JAtk
2wxUIU6JncYBUDAEjfbJ1vau3fa6cr95Ul/bkG96UnrkTTji0/5ss+8P7Slntibw+QTjRdqcgPR9
0j36VSP2507x9nrvdlI9YrJa5KwMZflDc74P4nrwjkX4gAL2k41P7jlvGomv70xChoEmI5I2Lbkz
vnlnY9uBhlEHMmO1CdVQDPk6DnSJVyp3UUn7NhUDwWKA8kpN1U7o7i3fTkpmqQnK3ZHfS5Sr8oLQ
+0oUhusPRv9FicsLgmtuMso3Tj2LrtVvRAhcu+jCNTylpyIx75Uoq67DnjByK4qIp7T6gwXknMJi
NcFzWlDibYrOcO6ZMN1UgOvppOx7A8qQoTMKnnZW5V2MKU44tm3Suw+pjmmtV2QO2EJU2n1eNas4
C3awwxAPCUKwrfx5VokXz8bwsUbbBYk7YMTcGuEnn+qv/ZY/v763H+q7DmNqmwUANlecXfEUzV8n
9xOe7me//93GoSoZNXKYTufYvakSz6+Nu09ui4/vCvvd/UcPNlVTPZzOln6JONnnY1Kj6ZPO8rv+
5V+3novYQbM1y7Xf3XrCaceoJZDk7JEH133rxpya5C4Wziffxite+Oc9/tr+QoZpaWy1HqWp9u5C
UxLjzp8r/UwZ841NbXmbrYMlzCQ/Xtz7hX+/g41+/HodL6IvYvUMbPkrT3S7NXYff6q67LP9fCH/
eKzfc5C9IfYqDyPvuVsPS3WhrsRNv8mvorW3kozRtbbhc15jS/YhoKy8ZTWszHPx7eNXYf3uVby9
O9+1prOgzVydJLnzg9jpK8fv1t6l41+0ph8tN/fW4mgv8413jtZiW9xY21vkHRuxZd3z500JP25J
62zpLZVjvy027UWEadQPl19Kvz+ri2lj7bxdeRi3zV2+vvn4pb+jxf7zwXpXQSt6G2eVEnNf+qVf
rdsf1bq61ZbAwZbBMlqSErfO9+Xm8ttx1e+sBQf2ZI9/Yp+c4S8sghWo1u/B4svHr+p1DPj+a33z
gb5HfcZxOTSOzauKdp4fLeZtvgluC6TfC4gkUDB8Eqv8bOOe663+RCNt9fH15e37z8v/fI7erTYs
NQpJo5M4q3O5csbxMCvpeejV8pNNSa4qH13n3arjgncbhpkULWpqfxi/qWI74h+Bd6Si/KjWH7+r
369x/3lX7w+TSs7ib9VJf8bpxsnvugqv/ncXeHfmM4SL4JUYsjOBn3pCH9Bzlh9f4ZMvxpEP4pu9
Vckrt3AmHrSyOiOMWVf6wwyU8OOLfPY5vVvcWo3I9MFJurOQ38pMWLz492RytB3mz6/i3Q3Ww6jp
izafziM2/ph4uhTTR/7JVO6Tu8t5tyrZQahMNOfYDYS9ML1ilWbdhUGOCdHoi2TUzwMu9o8/ut9+
PxIKgiLPkCF+v34/ZAEaQRV3/dnMX5pkTb4VTb7Nx9f47dfz5hrvHpoMELNSR6Y4WwkRpepVnn/S
VfjsAu+WxDnNhZGU9XBWWbRpRqdG9snH9Lo/fvTgv7uPo5ihT5BxH3M28JH27YdteuKIwEh9Ea3C
i97P/9Rj/V8HVlj8Pl5r5Lt+8+ho9P+0To/Yox5oDBPytMBC7gM4etaO827wL2GA8xe+tcoXmu9e
Kf51t5K7+uVjfWnsObWD3llhAtgWi2jz2cv77Ub+5omw3985cTOqhHx1Z+1CbuSKj+vW3BXawk83
5vK+8PdwtQ8v6lcOZ83ddBj98ZPVC876x5/Qu+99UFo7qr2JWmJJ/O+S5GLd9r1Dtrz2zvYR59vy
kWhbv6Bju2421cZdKJ+s0J+9hFeS35svSRG9YhZj1Z2VQ+mLJZ3N5Lu1hr196H+IbbXKj85G2Sgv
4aOxEJv0IlwmPz5+ut7pP/4uCH4uTe/uk3QwwJcU3JqYr9akGfixrOp26eKWaLHdjuArfz53uX9P
/uMyX1cb5xIV+7JfRTsyiZ6yxSevRxbG/3hUfj7uFiPit/etq3jMhgqWlHplbuwNedtiPa/nY3zQ
/G+kWa7ThburtjT1jmLh3K0Q/PAVdZt0fRMvZZHwV3Hw/3p2v/lRykyB9tdZ/f/Po3uDZ+7D0f3/
7Mvnuo+Lf0795Y/+PbiHD/66AcALkJZj6cb6z+Be+0OeShjn0zg3cYv9HNy7fxjIK3XHUAnQwfPM
bfBT12i62l+/TDZ6/51ZTC6tP+8nji6yMWjaNtZlQ7WRAvx6PzkuMCNhTs3FpIAHAAtCVDt47cJN
dnYfFRexiYopcqIzbZMNzn3rqp5SaAGhem0E5nXa9D9KlUaeENGOFvMhcrQ1R/Qjw+mFMpARV2hH
t9CWsw7udTDFV0BNR3ZheqF9foYCsQ5C59hGyrqclCssn3fOVNxbaHfdoEYFzOycJhGe+11KnzVS
FElGM3aWG30h1nChmOrVlGbnnmRSoh/PQlqMPVtgf5g3VkOjKA7vLObBCu9olTXjVy/uTgHsv64x
nowQeXfX7YvAXneGdxjM+hxE0dkrQQrOJtCR6tyTxWWU9Qm/zz3tjW1EsqKHsVhJQV9pyRlB5Wro
sbi28zJSh0cvbi+jqD+F47QYSndjEnFGtuS50UHYeS8tYZmrnNwz0ir7/ey5z8EIXsU275Nk2Cmt
txyslkzoGbpbQmtv9u2quZnaqfUDEV+ElrNNHUJLE/vOavPtPLXXudt9LXSBO7Y4g2Q4Dna+teZ+
nzfTtqfT64TVC8QXMuIJsAy8nRGa107EjBA06LZz2PzMbKTv6Ci+NuFSCdJnozSvvcpeRARiMEB1
LnqlO4a6pCANu2Ymd85RrhNP7DQ1+MLQDcOfsbILWEg1cXuBDHaMArVeSENK7GYjROWa7NEJ4k0Z
28/OgD+wqsXGrSyMyKLCoYSOPB/F1wIBLoCwBnn/qp28ETV96zbJFuxFtOvKpkkuzHkWJASThGhs
hgaPu6fh9Bukm1raqsu6z3zFra7Tsqv2hc2gs5U2bGasxolMt2E5TNCEMhGXOPiIP4T5kFzrmg4q
Q0Vkibs7KTRyIem3r3hL86LQ53mhSTt4UjkkdkiLeC/N4sTlWmRkTjexOdXgxTinBgap77O0maOA
1AnAaO/cplNXqY3WMsGVHrsTWTgJqhHs6p6i3yr410vXWOIrvph1a23ib6/bdETYjqcN87tkRkEI
vFcwdSWnRprk+bfY5SsMBgYO+lg66cv8y4ixmiN925Fvh90eMxFz8Mr8GhJADAwJU37V1v2yNb1z
LANRHZF8Z2xOuKQJeXmQtv5Ud3+ElfdUTPqdhe+f1w/rs1TbxSShAEaF8AFQYbW0CnrNVYpKdgCd
D1FqabjxxQBdwM3HL6aYXnpH3SfQB4ieZ8apEBYKlyCeiQvMs/qMmr9e5xJeoEuMQQnPoKgiZmNe
2q70aDCWvYnWZdSKhxE8yLKt8+9KKVHvYoRcgHRjnaRiFyjZJlFxcXnzACiX9GSC/i5i1fkKJvGr
MAcS5AUULiyqGNvxTDlRtg0ZTSBPILO1AsNYG/omKPWHjkhOutISn2/t4pABRW/HD1No8MsV81sc
MMixofQCYviq9M2y1UGLiEAlETu4N7CuLyYPBLze03InFBI6g74wu6b356a6jfBILtVEUvdsvncR
BA8GEFfMsoHD/WWsaxnN6Hkjj2icTpzreSyb0SUm0DBeclUXkKVC5kbM3OIUCNeY1zvSV21e27Cv
3PZC5HDtprmnx23A7FLPUTd8KVR1340uacKK58GLnzAwquKYRurNGHYHq4hutclRfcK5l0WTDL5r
jsbSFsox7l0NOEx610TgmGJcncvMqbL+JorSYt2MbRgtlDLACFkz5VCSIdqZUAxAnJpQ+xiMExbN
QLWoYgZMebkWvb5v0wlHTYvJQxPZFU2Nv/TU/61F5PHl41rk2Mft/1x8jdvqdz4LfvzvegQhISo9
S3M9XXWBn1DQvqlHDLBLVB6eCn9SpVb422dBEL3Hz7j8hYu7zOOn/q5HTGiVDj9GpfKXr+ydcPBf
CQld0ukxqZk6vw/3pyx/31T8jQ4qwZBYRCIs/VY/xOZnkw/iQH4peWRJ7xpQYUjOwb/rvtpJ3l4j
10oVaCDtLDKmd1irvLUg4rNZO7k4CUPYIwEIU7vh/iVCVakwgWuda93oxBKAqyTJ4uQ0jodSKAzq
U98obr3Ie8OuT7atqIKhJfnzMOA0bOstbMuyGlUUMVGer8ioVDdC1Mjqyd1djbStNzxf7HTliD7f
xmJaDPZlAkxpU6UApfoSHEqshBlZm02JfKfIyQm8KZo5eskTJGzGnymXLtxm5FSv6Zdexn+ttAqi
/yoyc9W4IXkCNy/7bX3VAaoFP8mJAVEWk8vowai0QyQiOsIZK1DqQdMe6g02/ePY2whdOuXcR8MX
KzVua6+9acguDovhi23lBY6IGtZfbB7rxlyFZn0kI5pEqTDdaQ1qrVDYhxHtADUmc5uw3MAeUVEj
kHKBOgmr72OVJKBEM4fo+bK+QMuVbNnnj73gYGunE0EBxJmYAbIcN9PgJ5cZqgVvNWFW9zsk49hD
DKSUQlgbkO7zoZ6qwxAoG5Gn2w4s4SbPrGYZG/OC9vyqHuMTE0y8HgaZ8xR3m3ludkETX0dWzT5S
WMUyZLjazNhSQkJUilY0qyZCkNV0h8gAtKtMqv1tGlL2w4ZJJtiitai4VYUWr0zAMBQeBXTIYCeq
+jQypfG1hE0pxROHkmxI/DCxbixzKn0kO4SLF4iCiFeAnh6Y2NWm7lTbgwJ3p9mRgzzBXlV/mHb/
nXwsd8OgMz8YXg7mIEqt+Koq3ByXsxlbZCRjwHU0Ze9hZ9wAsfmWKiBLbYg8mnPX4aXLosD23amh
OoPCZ9DlyN2roSjWHoCXpIGQSepqbo/pljTzjTt2+rI2+OCtwtm26nCvzR0dcZQVJKA8QfA6lWpn
+HEj9pijLmd+6aDhz3YjfzY1kOvKs95qPxRF7EDoHI1A2XrOFxE8le68J1LZXVtJuGoc666e6aWw
WQ9UM30HONIkb9bSp8swSLSFoac0uFPvMQv1RwOMBmAz7eiZMENH86KOtqiOo0U0g5a05nrtRMot
oqA7k7GfCPESWFF4aQ4gHcDIA5ke4kOHc4IzGWFng/alUqJb183vlApRQjGuZa2sO2Jfe8peCBWC
fWLvMW5uMjtja3XaJYoa6AK92V2bY7Ln/cmp4hO7PeoVA8+WV4JX0I0qOeemSLcoQ/THcnSdh9Yt
wZaKaQrucilEFIGDNk5kGsz5AJFk3EXL+k/pIjDnqJt6tH5ITUYpcRwqKz735gwzI3vVQPavesjw
VRtZS5mkKwWTs5RORpb9RaE6WQ2oKoOoClYkFgx+Z3otNzO6FcCr2QHxGglCunXdqSqaFinWDAdk
mxr6TUKsb3Ip6EwAJ1LgIfJMUXvaiD755pd1TwiHIwWhLiebUyBFomJmp0/t8qsZkgRnk2DDIwf3
wrRuVSkybZMp3YToThMpQJ2kErUrv/YoUxMUqm6ioxVCsxrYfMtoWJEykRmXIOvrXpxmvMgsDEgh
ohTfGLNHPenXgNyeODL6/atAVsNJCv8W61hbgPEG2dCip52mmFQXZ5XU+vfc7gRnDvjbxfA4gOK3
pOBhjvuntiPjCK1unY5rHe2uhobX6jmESlEvze4bkU3HArVvV0PiUMbkPoymXYweeBDiNKAPDqVQ
WM3s6w7lMJilR4GSuExMGKHD/YjCWBsJSXbmYT2YnG4EKmS+DYJv0qdZypM9dMq4nIgbkNLlDg0z
w2x8wlLWnCC1JX2OT1BKnsPCua2HeN8ZdrdoUUWzE3BiQyatxMUlBWG3LZPw3pJSakAEWwttNcsN
5HhxMqToGqjl0UWF3aDG1jrr0asGgHzlonLTCwPVNjgDv5Uy7lxPnxVXWVpjvO0z4mjqPnhWUX6b
Wr2MpRScufneRBveSpF4Yrb7BNV4Y9lPASrygRO+2Q03geksQdXMa5hnJQrZ6FJFgR5IKfqEJl01
wQzrqNQ91Oo1qnWmMvDV0bEPUtDuSmk7ukNiJvRjj+bdDsqDKkXwupTDF7mqoRhHIg91BymAlM2n
6OcLNUKWrLoXqpTWj0VdH1opt++k8J4si2+xlOLXUpQ/Vjb3ixTqT1DbfUOK94WU8euviv5x0k8M
kYOXN/XZ5Z/9lbd+hn8OBv7U6VGFAKAjCe7XMkdLLS3Pi0A5J8mdnX5Jva+mtfnfXeJd43LiLrZT
GFdntSYdkhN8dSGST0Yqci7zs3kkKyn5Nmxp/9AMgEjv3oZOOFs+enF4oSIAdB3MsaSn3yJs/vit
yE7z+8sQUa1jfIT1R7vs108rLJPJcNKBOQA8kZpzZ6tLtONdb16Og+bbLQcf608FxH+PErLg/+Ao
Ef9ofsu756f+PkG8Jh5q5G5LxNSfvck3Jwg6irQt0UDgY5ZC4L9PEN4fDhgoBxI+gmTjlxMEYYhk
HkuVomPwJWP9/hcniN/gGLlV6MRBd8TYpGPX/vV2mY0oj/QyVi84ymDizWfKeO2pDL+DRp0tqs/G
Lo6xO0g8q6cfx4r/3xCrZ2vFRU/qKHvoddazL7QzFZkiNm0aPRSNtQH4em0U7qny6g6by6Nmmxgf
BGRSJz10Fts5gkocDWFPIF5xi3cXepWnZou6BkOvxtUjgNKlbekHi3AJQume52imQJwfdFPhECG6
fWSBUBaJs0jneNv27GpJMT9oobMdyRulsdBdCid6hMhzN7vl0UvqB2xeORA4/UUZC0A+/RcU+lhG
emvdeMp6dubL2EsdLCXVpvKSfjF6BVrPzvaNwEWVF4y7jk4YEFpyCwmPcWrA4+1AtF3ufqlHXUCB
n5zd3KeaPwbmIVEzVvtR2RKShucAGdK2VyhUTbQe2uCznl6PVX89dXlzl1nTc1ZBorbh3oWReq/m
1sFVS7gVqjiFaWXRIMPzZCXFthvA8Ym+P5hmuwNnUeK5tvaT9p0a+SkM+rvJtWCP45jyZxfOnoqK
NoMYnznmD8PBy84adWcT1ocxyxxoDAfrriUJl/xLe6WKaZu00wY15qoa4mPf8pmFYWZC0goTNL0p
h6nm3ImOjODAScpNZ8WWoFaMJ+rZSu12pUvyQOd4RBDoHSVOXaoNxovXxKL2Nb0oG+oRUr6ld0v7
Nd9IvGYd5XqJ1jozIWGD0oZ76EExqsnSJCqpkJlJ5BfoS4PERLmp8aeRmm9uv2EhguWd1i/YxxFL
UyWh2JvpndBXCS30/XM1HRzDOSuR7i46veJ3qATuKdFDJszHwiXpaRDDDV1CkpRkCpRZW98TYqH0
SfyYu2byBwKjQpsQKCKUT2j04Ghx5m5kuhSxgsYK2AfxmTJ5yku3ZtQ8uqnVrYFYZeSru49TB7qj
MjmLkTryvXV1SZkbBXdO5y0LmXSlysyrLFTO4WM2LAvCsAp6jib5WBY5WTpFvJXOB7soNklZXQ1G
QtFDslZlIhW1ydri0EJqjAcUXLXvA0ljsfg/LurUcK6vYvK6JlNpj2P7WFgWHfJJKQ+K48zxkl8l
fNVJl4odKT5Ka19RIvwojYC2NPKNcyy7BkMa7tIoOsx2caZNtxdF9QJhGlQUnUN1zaij+fa6nP53
XzGZH3+wr/wZpgII5p/TMvmT/9lb5EiMxg8ob/ysNIPedKd0MnPZQkAkgvPG8fpzb3FAh9ivs1oC
TqSs9Wd3iiwVhly6S9KAiquUoN1/s7e8qlV/liKv4zKsLDxwbC7Mxox3YhgvUBBau251UTA+gOxt
N9gYgb9moriPG4Mg06TRqE/gsWYpSYaz1e1qS3sZSMXwyzwf9yP0IxDVGGU6td+GZbhCd4z1rylh
ERZotWUEUeIkX8eggUgId8gfClBeWTcUK4c2AEqoybvEiHpnNWDr6tGYYNzPR3RAd3T6SZqM74PE
uCWDo7hwJKCvlKi+XkL7VPoU+xyOX2ASG5Z63hVRHMKnOfsDgmK/DnVI+AVIfBuAX1KJaa2KYqW0
4roGni8kRZ8u0XkAq0+7Z2NJzv4AcD93mhtiT2m2T+WplUz+sDM2qepFZO223ybJ7ScKb1g5kuVv
APUP4/oGcuqalE0yt83Gb5sm3g0EAWha5CxGMaLHkRleM0NtIYMDBKFwMkpAIFJfZo1kCs/XwWvc
gAwecGQEQRYDFcxJJfCqeO/JmIKEvIKZ3IJEBhjENcci8gg240y4QS1jDhQZeKDJ6IOeiO+eLARD
hiJgOsAiJs+TnXHN1Ads73edFAWHX9fLWIVYBixEWvscAU0EDgz00CSFIZFxDBz+8evaYCRlVANL
f7ywSW9wSXGgp1he1rl2qmXAg4ofBcujTLPlHt4AOL81Mbos0sFbuiREVDIqgiAURn5MdmxSJFQZ
J+ES1xOQL9GW3eVI3kSXETJF/kQpgyg0K773TKIpChlSEci4Co/cipn8iqmeHpgTrckHeTJlwEVu
DNeDjLzQyL7gymIlSMMYZCwGVGfDr7UJ8zGRGQHZGZ4M0RiM5qsmYzWwXOtMSQr7KVJyZ1U7vWet
pqJlX5txzhHayjihOoeD4uyrsGyvRFuy5zpT2BE7WkEXoT9L8ok77gfL8N3AWTeV2HYGyZ+WAeU5
aB49EyofLtitmVZcgkkUe9m2GdFr9RYfsRsGGyWP5jujKjXf1JkHG5Vz49b2odOmH1lUp0uOWtdZ
EIUHex5Wcz6c9YjpqZcg/7LpbmF++Z7Mlcdo0fkOFiL0DRe+pDV4LbTE9gpfJx9xcwpS1V3SiKj2
pUOiDeYKv07peUKS5w53AZCKiZ8QA0T9MZxwNgQvWRVc4k/syVbtVEZjfbmwe7b6YM4OtV6oqxlz
0DbssdTiqHWCYj8mertEHf+YkCDHptV1x8hUcJcDqfmhqkF6W6pmhevYpfGhZRGH2//uTq+YKpOj
6Qe7U/Tcds+/2Zn4qTc7E0ceiM8A3lXPsTkL/+fUY/yBJxnrHX+DivENWc/U/gA0z6YktyfVfR2p
/DU3IfAU1CbuzFcww78VcljvhErsTKYpz1fskBa6EaY7v556dHnxKquzS5V1y7dM5peaOX6hkR9u
ulq5qCLafGSsnNKMmr6Z3G09karnkoPA7NzFACmbMN6tmUK1LTQgO5PhVX4bsnK7xtbN+rXdBSsC
/rYjeUp5jhlrpIvCUfCxtTrSN0e8OXStWkH8jJOcpq7/4VDQjUgDOgVX+aRVLHvmN5shSDh5MW64
kkDqOO+3SdVsG887tPSES2bgs56sgHFHvmYNRxsmkDMO51HHrzk1ZgynSH/OqM8YIj2gubDWThD0
DDhw/zZYDzkK0IY27XaPjmRYu0F16HT6z0aySqPkJhiYzguDuKqhElcFzF+/dav1aOfqNufFHQwH
8QqHDB7MQit81rcLz8i+E+JZbSYdy1wcpgajgOC2yUoe814s1WJUWEySU2qKchnDtCMDs8oWUeWA
RRLlxMrnrjhkccLrmDKM2V1nNQrguYJsnPIqapgSFK6313CN+1j2Tl6h39bEPOmduIoxQK962fyl
38Jk1X3RFDmM0IsrEQEJMF3vMUm0a1TarEsBDjpSG/PFZBu3cx4/pkW9HDPW89jlIGjE8ZGQuENS
qy8cce0tXAeQpnE/rchsxQsZGFd9F91HCa8/nFC0zyxzC7syt71NO7gqDBN4LbqfJEWwki3HsPHN
GH/41GmEo8VcR4VWNQVeQUUTPZAUcC0aUyxKt8IIbvSbMERyXRfd5HfYRpcjYYZYQjk0aHlqbvKy
vyhLl/5rwPfeklOmiRomQfWo9fGxS+JjE3vxTgGZsbBsNkZTx7DotZO+gMjf+UlXbQKjPENRPOL4
cyhZmDmHbXxWk/KxTup4XWfMS/q4WQrCwG1OxD6eL8wb2bCtNfVS19tFZY0Sfgi4Mex3bVHd9cqw
KdsC+Gm5hlTtMWiPSUhoB4+s6ZF4qwyDuqsOD7R0f7QD8qdEbMa4mug415lf2NLhzbuanMuyHrtF
6g03bpqtO3VfIyEcToESryfVgzBRXGhWcakP2Pet+ULpmXoME6RjWTr2PdlnZTSTwoYX3qa+4QaN
g4WtcDKqPQ6ABb8Ub1e1gHSQ04HvsVuowwsHq3QpcoNDayUf1bT9Khj7j6WLOkj0eMvrhIg2z9sQ
q7KLNJrFMwTfBrirEftu4cGrUATlqjCCBUa8ce0pLuFdzFZCEXX7MkgTFB3m996iod5H6ffSGB7q
uf8GiTvBrYihNjTGy6knxQ6gI3qJzu5QYesDYJW+0JuDHmbdgbVHJhJXqKJEjYSmyLudVeSJvTYY
elh3g5q67iYi0GLTm2hpMA0WRIQ6oplJEQiFtnILxSTcYdANd4uWboK8YRCIcIY5PPU3nppr3c3o
NYpx6EWPk8SCbP1AGLI+XKRdtS1Dir8qmbJVaabmOo6t0K8JQNWa8LoFL77oUrE3zaJfN0qDhkmx
D5YjYI0zbAdjYH+ry7Jl5GfD303Mh1QhXDkamP1p6mzvjZKbOS1ovfDPEfFa5VMVmM8Av/Vl58Jg
AanwgpQIPAP4b7LcRmZX6oDztQNSM6XiNFXtUsQeevJKOZlFc6UE/SF3y6chHoEnwzER6DxajVlr
WFnZojXEnoGFpY6MM5zqOU7La1si4TudfFQDGCNVLuAOPTkHrXdUkukxi/SXWVP5LaH1kg45QpJ4
qcx7OgdExf8f9s5rt5EkTdu30pjzFNKbg11gaeUoryqpThIsSZ3e+7z6/wlK6pZKrJqtoYDlDzTn
YDCjUpIKRnzxmdcYDBG98ioS/pGyLzPEmvXIQPvWSo5ilDj6bA0d6shHinjaS6DtC8SCJ2zGM9OK
0HsxHCoRSboEoKDOOssYZ0HfrGDOnThG705ZhfzQSjHEq5gxLjW9Jbbj6QGB1JqPEPyZmEo3dTQb
De+rWlbQOhGvABtITWVHTsebg7pxIudQG2GYj7iy0FQJGBjafXae9Hk3t7LuNLdrpAFscFCeYp0H
XbrChgxPk9w9d5jbVklFblavTacb5hgiXw9UPmSQVGeuwwWCWvWt22Du3NB2wyLzOJQiPmMz3qHW
gLxQY+rsAUwaEN6VpmVWP1WOc0uAXsg5In+JX9Mo1A6B1t8y0FlKgdVPkUY5op67aEGvOUb2PeCi
Y6wrn+kyY1GDc9diQgkMUymnhlweeVLLlVB33kQ1QCb5UXTkGPTxWi+dhrZaLCsj6KaBXiFn01yQ
iSxStf7SJgC2ooLUukF6ZGj0fh7JSTvHM6dAn8gFU+3xU4tShUYWqhqSpCxNDPmOahZ0in7vuZxX
IQ3/+rhJKQULE0O7qr9FfkhmNs8lSMhaSMHoLaVOOYlxa5kOHbk1RkrxiaeoF6ZSY4hdgRutUzk5
GlVMr2Hi4h2MAeY0tDQ4xcGF34RfJDljlJPiBUqQI8AZ3eGYqBwJw75Q0aEFpgeyysz6BzQRv0Lo
wW/EeoCe/9Cb8iKv8PaOvDucOsxZrQVHbpLfyZl9qOnldWerJxC9GTEP0VSO/RO17NYePabGUp+c
CAnhJrgcFQtcVi1fp7oI4pIBlLH0p/+k3c9pN/2RX6TdCNYHQ9ZsSbz5vTeJNwKMDPnASpNhCw3N
N4m3peBs+zJSEH2fl3GDrh6AYiIfJ1+jlbQRRfs78XaEFS8gI10Gmg0i+zdaQphGkVi/awnp9KmY
awgRNZOP8kPijZ4Nw+rSzC76UuaAtXqHB7gOLUDvDtEfgjM14JKEPQ4DCSxKTuQ4Iak0Ays6wi4q
uwsSt1rR9sJ0UNOK65DAcWj0TXXWRW7+mNdCfyqmZ+3H1kD3QmGmnTtSRxOJJPCiKpP6vAgRqZBk
E4EwdF5sxDyUeDambnoWebnzaEv+FX6kxrmngBBRPb9bjshv39b2YNCXpXfTqUazqivfAmWdZsXE
aqRooRi4NKGFUU98rVKfECWK7ww5Tg89A5hymrvVusWmb+7LdjC3SqdbWiEWdaCF8suOAjvGMwDj
US+ftXgM4EQgpXr7kIEc1E+U1B0HJHSyqEFPqW6kJ91zQv8M/fumIIWt0vLc8kkXLU/p/Ws/dIjy
XYPCzkgQsroz26ETN5E9nQYSPu4ALNCpbBErmhlkEcGJKaWky+h1D9/DVi3w8MDRA1Gp/t7sYm09
SJaRgX8y0wXOkswZGlC8dZeNa2GijCiGGsjIETBsCDzFWbp5631nJwVTOR3HtVv545MZ9HelVCxS
LziWLHo4iUJO0xmYB0h5h0aQrTTDMgJnQcirh9Mo64HNIgJDvy3JwPAEnRegplFrKPy3CYl1VHzV
rYAWm6PcagTow1xiduvLXTsxABEfmmFlXttInxzVUu3cYr9iniElLs8YMTgyjp5GduNWMiyMNna+
S1YnHWtxbU3yPjlHrlyalXULjlSinzfv4qKoZ70bgA2XsupoyN30iuoXEDVZyjePuDcbHSu87Unr
Tq1QD1fwzMJ7xM2yaTcKgEU0Zvdj00snbF7wrha+haFXunf2mHS3aVjSKcv64FoK+vzCb+NymqIj
FM9SXW8rMAY6uHmsBWsKRqOaeaD5rakH/BtPPsIvajx6jHFE32mXdFltbNAzU3nKs3xcFAE4bYfY
PgHbavzTAlGeYzEdi1/E4ixep1ugozq/9SYS01xHHsRCwOiHwa96wHAJQqOO+CPdB/r2r4NfGwcB
RyHLYdyK/pFgubxCR/Hho6UP0lNDxkFIW/5WJLbf4wRogWBgwBTZgjhDGLZkAVd4Ax7V7SQsyWmG
c7v2ygtsv5OrQMmtuyzW1eOhi6L7QamthV238or2pwubtfVpmLbjF8vp6mtfzmIggQrRw8ncuSXV
JQSAwgdbJZ/Fse+sWuHQZQivLtTl+f0WE9MZWuA20zy6lxIFfK/iWVTVKH6hNRQBG5cZbqWdO5MH
QDQl3n/fEt/3jrOC2a8u1eGMViAmPgwVaG4MXxy1mPoiQrmJdQwC0yZISt1JKlzJyqxDFkQ4lfWx
fB5peJc1QRRNHbOIJj7GZjSdkYJxtBo4ZziK/DYMn/JB6XSktUG8jKMnqCD3fu+5cEFaLF6wos7I
6vowjY7U0elAJlnqhad4d3I0HAeNVi70PL00cPeYB3ItLWvTG49Hr9GOfV+25rEWnygICh0FQJpm
CO7ryyhO9Xmrqi66SwySqZ/Qi0xyrKGy9nIsQ5yu4yrG2MkYJ5KBLH8Erl/1nLNQI/S2A6sjNdxZ
QZdrM8z30ERHRHM2WF1+VPjVMZScb8zicYGLITYwGgrnqEcd+14x1lOcGvw5aWc5i6VIXrimchjq
EmLTpTftjXaZ1JErcPL5us28cNXX+hNUHlD8sgc+yaDN29EAi0Lv2tSsy8TyNBRK+qXaxl9UhqLO
qe7UQAhUrOYK5SJT7S+yV1m0L3AvxhK+JwpPrAKpLcgRtHAjEAKt7q2qioLcSpOTSlOeDCNrEKbq
rlvmQEyL2mgaySnm1ol8bnnOYZpky1YzTsPeWYEeXvpKAy8g9pSp6ZoXjIIXoxecJ2NQT8w6WTg6
omKjMawMyuE8km4BYXD/9zqOUg0/adxviVp+1zqQW45vP/QWcqjGcFtgiQ0VIYcsmFeI7qSIUp4V
EfOIqaqZzYNuC+iaZgBodLP+1Om48xlBBdGpYgI0QFqJsid3XG1mKWV/6plqcPRPYvwcjElVfxGM
6zXj8XjdVFtSY37zr4AsHzAoxTLAUE1Q8e88E5QDXQxJdXrMwraFrPTvgCwjVqJi6UIf09z86DUg
WweEYosJN6guBHdpcv9GaoxLzI+pMVwBmY9g2woEATLx9wEZ+KAWlX2cnTe0EcdVqOZGeKbocqjO
6zqJLzAAaespGO0zIy8uGramTnI6L9XkplVw00yU5LRQy/t4yI7jKr0KkmBWSyrg6dBd2Yaxyns6
yKnVLT2t9VBCj07Jlr6OYfoEDa+fZK1adVNQqZeGhw9zgjenjwpbA450purIhcZ1uCL5RI7URlJS
a1PlO3r5E8y/vHiBpK6tHEHeLINjUMi1t4wUiZmRjKtpgN2TFoJMlui6T4SSoxVYybKwnGMzRp/y
RnNrRoJu0oXNzHFIeU/LMKjuw86l4QupWF20TRuO07oJT6wqNTHqc4yKzgQqZzNnQ3mLUqsF77ah
wiWUQN4EcMX3Bt+cSRenXy3BncPnFZcUwaaDVpe7OOVYHUy7UHDuuB5WXD/FVAXhOskh5hWji+4L
/fjMxZwO6p5Ujkc1VL6WxkfadkcM22YtVL++M9AVN7FPhQRYxiqd5WCdA66ACyhNsrpZobVFcg6B
0BZMwtJRrtpGOjKhGKZucWYLGLVWThKpO8Tw65je+iFsiVPPQbsRqmKTld9lqIsObCwVKiO9UGDL
1qGreOcm3nOTIs6vY8iPVhrM4lxedpAiy5o+Tg/EBrJkIigDkCcdu0LTEzYlrCcVvfg/U+zPdOiW
GrRLWptLPYe6l1UrF1qmE9X3JTRNq7FnObRNBA7Pxiw5t0GGM0w+Syv8X6F5jniittA+dXzP+C7p
BdLrhBYauhjoQRMdNWPRQBsNjXCZm/I31QgXIKpWuVZ/9zJ4puKr9yxmKaUyDRJlaUNIRf+tFmgw
CKX+bCjCs9JU4dJy347SrQGlNQYrA9cyI4InRxWkV/RQJg4kWKa59H3irwxTbjPZx4FMWri5cQqX
Z6FCopXDlkbwoJx20Gvxwa6nDoTbCOKtCwGXkdG09GFvQswlFT/pIOpmFYACuABPpaUi/NVflYLT
63qtcWlB8w3MDr6vq+PZoybnZYyuXRLF0IIDNdPgCFPQToy+OJdN47RT2FKNox/FDJKnhdlxA1XO
4+ChFtMnjD61UyvwLvuiNmc9GKQWtsdMK4pvdTiw/TRzlufusi/aYSFp7jd62qvO6f2FnTQ3WBLN
NUmzJpFeQwrMRtgUUYq2baJbU8mnHZq3UgpbUFm5un6ll+DrJYatk7DnG6e4uAhzaVnpOFnSyzrM
/UiaSpUVLopeWdVhs4xcAEjAkmWmDHN2B9+WSgLlNNVF4SJHlerViapxCfpDdRIneKi5CIMX0lJh
eJSYxVmuqgHGmckDbBu+jFGaqV2Fc587sFi1eWnE9lFWh9oM8o42SSNcRNyxrxkNNNNMZj6v+kaI
knF+inYwg44aCoaa3dWWjkylmgBjS8azRoG3GgWPplaE8EvUQzeHNdIL4+Y0bK/MVP0CKelYMtDl
k5p4AVk6ZwzTrZARAOOlEwGgjGAmkqfNTC3cZsJUoliEzXCaAeuYmFpwHkXFbWs2MH79/sYzDfa7
AnNPgrMNMNyNWRoQJ6Dvy/DWaZN0im80HlWG1J2OqPCe+IYZ/dMUey7EDO7in9/9N028Lp8+3vvi
t17vfazcQI3D0aPQURxDe4OSgt4H8hVmn7Hxn33TEtPMA5xMqI5kQ34dU7/e+9D7qNnoraEAgFia
rvzOva/aAmH7tiVmYn7LNc5noPEGZ5Bu3ttCjEgvF+SwzdkYZ+i3wrGgukf7JqIZIbdwuMpYTPeC
6ZC5q6DEVtZQumpapu0FevtHFjCrSUUfB1OxYlZJwQmd4NVgUT9lanAty9Fjy0QE/mkLJVvqElQf
1VU2Cg6IbHrTpBL4LPlrRyNDrfQ7p/C4yXxHX7iCc+tI4yLWJQk+mA/mEi6w5UnQavPwi2Gn3/Ih
u219uGVZXaGLa5pfyqI+SgF41Y701U1hpQGn17Rg1Ub+KQjRb1VmJ5PAsS4YMz3EjmfPE/4wgD+4
lgHpRCwmu08GVJchOzBNr2k3F3EHuaG7HVREBL26W+j6WM/UUEOXsAti4Lj2Y+HDV0ZD6rSq45su
HVH2wG7UiOyrLHAei8q5CAwgmypzfBphYT13O/pieUvhlj64dXbvFliQZOkD7VVnSo/SmzdpB5vL
Si5oCx4GfoXktfctVqEP5bGNbqsZxZMuzx46xaGJj81mMpTITBMDkcROnAX5GnL5inVaV5R0uotk
JIVGkJeLIesWctkde45zKFhFuGr+GejhE2Y1NxpEPEj2d4k3QoIWzTu+JEcuQf92uA+rcljgoF2Y
lybKl77T/8lVmM1IrZaZ7MrTpsSnBQr0V90zrvQaJ2I7iG50T/2zUc32aAjEryMYvtC15i6RYNVl
PjmZYXJJw0J0mzpcAgC9z/QwWqh5AwTIkGFRWwCzocBMZMpDc4wWsoUCMb2sZVH7GDJEcKaanG8t
qVXk1w0TRjqz7QLqmokL8tKt8pPATYpjoUmN/QRKCUY3XlmI/nYpCUKhF1N9dEFVRzCz5bqnIzhW
aKI27DiD5tzUHtnEQ8V3mKi5N+/K8Rq+J++a2nCd2oUrN9ejrR0HHXADS40ZiBWuN/NicGmw5R7q
rL+zsbPG/S7/LitZOUkzd1p2fQ8GOjikRgP7J/mHciqFM8mK0qksZ4jfyktFxswHzqhzSAI54OJq
PyVhccp8rJ0w2snnKO8fmd4wzNQG2KGX9LdZYRxjBMpgrGaQa5LqVI3DPVMqJprZ+XiR9KZ6oqcR
kso0hLyjWHV8bRZF3VfVRm1+XkqVH3xhGdz6XK0tr5ubgaEtTDeR0xsLWdxsptf5qOHSGwtJYjux
LnAhDCh4C2hDWtF790iaz6uYLTQR1n9nOeryYW2S/YE6lrn/fMvxrv1CFgxKo7+E0nrsekWAMb1F
PT1p7Hic9bZZFUeoE8CHLAK4PlP6VnEyqwYNnlZ8mWVmX+DvqKl3USfLwSrGCYM4E/tgD03rQfbw
AKaoGErQ2MDvHCQqIt0o5kGgWt6NXFtxda+6rcdIUhtJ9go5Md1vEDZ9fSVjDixNYqdv8n+uy5fr
8peElS9PiB1tY6wYbxgrin1gaoIKYskKLFibOvR1hLS5LwV9ydAdStS3jBX9APNrRNR13YFDselp
vt6X2gGGCqpJz1JGOlv86DfqZHEbvr0t8efhGkegFIlcA59VUUW/aVv2suS1ZZlyW4qLgb4KLBKg
OslzY/unkmfKhif1wxuBhNZ1uFoyRvT6D9eyAoS4MEM9P5Mbw7nFekYyp4kVD+MhFbwBLrdOG/0I
9t94je0xSCBTQZbGtrz7PAuxoAO0daJYYlJBldpf+IN2pQ1Zy5R48KzqpI3CSvvWEshtMJNF24KC
RLy6xQ94YuLNjt9WXCnzIM8zdZ51cQOSVYLkOwkqN71D9cKZG3Sc5FmVPhix3p1Zeh6f6w3z8qmS
RzFKzm6vTeO2mUixsOWxgi7TzuVWwa6njcPzsoaymuRIJ/vOhabITwYeP2nhLRiK3FjQCVM8gAxh
BqSCJgJHHcwdaCJOAqYlOXIHNFy0iBZDhZ1QPBR/+rZ/NWIzpGA31GjtdSy0sju9DO+tiHmPEFpd
SVZeItdimMdxQLMObZP5OKoox0mS9qceVoBXXcQ40rpArqyFnRLEEgZGmKCDdzqrUqqFUbXbmReM
6rJOrdtBke7QNS5miHkDqK5rT4W8o6F07EHLnJOMBXMghzyiVhdKZJa3pV5r/cy0U/+qAm87b+jG
QSKS8UeN0Qy1dBUl7ypCskSXStBIwKYLTFqPfQkpozep6sXzXnrLa1Q5ZD/uZYGCRMOBTFNkp+/3
cjGUhefhpn6Gv/kaUJRyPV5bE0Bp0/owpbxHAdabM9Cc01mfGMf6QptTz0z/rTma6Cz9vdWhAqDH
S0rrmIZIdjETfv85MBnoGqRrsjNX9Y6HGBfYCDcUxOJ1euJW5MyL1gW7pJpcaFjXrzyrdI8VviMz
KgDOWahE4uKLc8T4re4zZ1GpLjoDdb5w7fGbZeATEboQdijmvtKqsMgii2FqVVR6Pcr0AMoB8hh+
PwdDuUTDBpIzQjM6xqGj4RyOGkAHVV3qWEJOChy9SR71KVXVIc7yswxswgRNrXnXeacqyGvQQsDe
W/jVSRJWMw7xWdc72rLwUFVHW/rW67JDUBCrprdlCsR8KUdsNMspgGHJ4fWvv2JBtny3snhMmNiU
Ei/pOWo/uuc5I4PUPHHLM7nFU5JAEPPHYzcsBf7cyKCE6cW/M8/Yrob45j1/+Dalnhl1G3nVWeFp
97gJwxPzstlYWYd60qyyghaEZ2JCZMGvMmL6LIaeDqcjdjJoXBmnWWDfyQGzY1oUf3JXL/CmXKmZ
eSm744PhFd+SDr+CIi3yf1x/X+5kvoGfl7D3zfctYGqD33ktYFVFwDOAS2DrayobL/LXC5kfsa9k
FPE0jCve0XwcfuJA7LSQ1Xhpd79eyDYiezb4bH5Eq1mn7P2NCxnBm3ebfDNJZFRpinIZoXMmnu/D
R1yXtdxnvXxeh9kdOFZjaUaadKJibDWhMs8Zh3HmYH44Z32EKVcGMQUVev24zAywpCkQv0B3jNOy
BMev2xHOUZ25bLvmOrb7fFWOEq0rWZ/U9oPSRvJMTTpmd6ijjWZ35Lj2IrByeZZTNzXCcjV1hmSK
4Nhtl5aHeuCnN0RZhNPy/MHEXSFr8ttS0fMp3TauWq94iAcnmmWVnkIP6g77vO9RY8j89FLW7KUS
6vqFpJknLsjXed3J7jTpJPTKEW1BjKVgwFSvrcZ7cBMbRYQBpoKHt/oREFAscjPpqo7t+MKBATJJ
TLpAuKNgtTZY1sxFx27qSSBpU3e4AJmBeoqjPVaBeYnCypldB1A4/OguULWbOnPymRSqT3lk9Ljv
ercllUbAILEByjpJRuXQLZxHiv0Urp6PpRRYbRkUAgoRSeqdhKNzo8DMQfYDYZJSlW9yK1QnI19C
7ef1NHZdPNBrTNObCnM/q7oDP0K8xD0CFBm4V12+sGNdwZsuuAwceORSghvO8TCgzkAH7U8ZPqAM
L9Aeg5NWEAW1sLoCiltOekMG3lMm1dSCVxiaMR2EPJ5ZI9COQpIAsKSOauFJW8dVBO2nTOZBWtnn
jpoPyzi11UlropMDzwrN2fJJLVp54oyWdyk1kYwkhfHgMBI8Kwb1z5g5nQlhmQGlH6rOWewzxgRz
Rx8xQosFx4FokVKgHHvIEfpJSUEW2+edlAHIN8GEeEOG3R/dxEqhD1GqZwAoUuRfcMytA+4ZpclS
QPa4dPQtV5DSfDNz/0sURc20bPDLUf2U/ATZjcpjceM0zCZ2xbgcWqziZt8TGDi0J/VjPZUuFTv/
U/fxsvL7ZVP09jQlO5nKdakdmXFxlJvJcV8bmI1o54MSnVOtC292EMtyFn6VO/fWSKTqsI5wjPcl
67asPQzJFPXUzcmnJLtBD6VIhICZfJUM9bHcBcsiCq+CwJubTXzfyeV3JvMZWjhQGoaqPbPLqJmV
4PW4TtOVYbO4hi4dt7GGdKrMhd44QwQr1TqFiPXAXa/Nqnr4mmsqoC0F5feKajSrR/zA8N6K3FGm
Dy+fdXH33Wet56aWu9PUDAraUvmdluYrJ6vmpp0tQhBTJA/uQy2jKVPSmJLirpgyeM0YLTeYeUUF
cnE4xaWD8Vh3xqorYGUkdnhauKU6DfKEkTApQuhX3+ywOEEt4laJxi8KxnJ8PoiFOrS5zkGWMkWW
T21m3th2uB5FK7ug/m9G+apytG9D7eTngKTiaQAS91iKBukoS1DQS0GUtREcPKBXfh5d2WZqTPOE
NvZE19zqyLV4ylj6xmFi6XP8JJtZqEnxUZKol6Gsov0EGo7+ScUIP7OiKTrnYEntuJ2qnnUegvbm
4yHX5PoxRkkeIynIGugSyg8wTl70w/8/INW+fMSt/rF/6Z6Jn24swG+yDyaz/6t/9HqXbX/QbxnS
Glx1727uzQfbWOL+8jnxukao/BHLW4hLkIwQ/QBD+fz61x9xBsrt+ceSoqoHQCEVMJt8pbyoAXjH
Nyv1s7X49Z959VTRBPr1v/nln0CnIKiHo8f/+tdzEvPywZ4L6L+W9neWQkOml3G5TFH94xrIyF1s
xCec/V6DH2cRv70dNAYOCt83BLTn3UAp9n47QOk2BIBXiPnt5Ub4IInyHy0COSvUP33zdQvpxPeL
IB/wQ6DINvUor31dCoGZ2zE8KAeWKP5VBj+bFwXk+6XQD+g9aZapPu+9/+PA8HbSBnKP5ttv//38
gX9FRw0tAnY7kPPngy++6Xd/Pg1HGDW0+uDYbV57eSjEWf4PVoJv9N1S0FFl21O1bV4fdgIXBQgl
dsJergFl4M6ngejIF20wpWXuKl5ihd5dlkLwAuIuuNk9XQTRJv7tI/FuI8CCxk2D/vbrRmBrvV8E
lcreQIN+bxdBdAh2WwRyBYSvaCb87J4kMNCztAzDeh54/B/HRb7BDwnT8xbdLWGCQ68yVfnZcZAP
aAo55BPPR28PF2Hn48BOoEHuoIKGVKp4fciYVAHDtA0mVXsaEwSSc8fjABoFpAmR8SdVhDgOKEGj
BvS84Hu4E57P6S7HwSEVYrMTFH5yOwgam41IxEsQ3sNF4FLfcSfYBxZSgZhjP58GkXi8vx2opQSe
yDbMzSrta+4sxKB2XAr1gBEwHupCQuTdGoD4QiUUsXKUEzevfQ0Mu2eN1JOoHeFWzQ3wbg3oK8Da
hID5AqDbv8OgPG/NXSICO4Bv3wCF9xwRfiwkFeOARImwSdtBvPb1MCg7J0z0mcRwSAdn8eNG0DkM
CiBHkBf7fBgELnPHgKAB9JQR1n3+sjdf97szQVxg0s3Qy3o+ePt3JsQwd7dFoHzQnQ2Y1Hz+uj/s
B/nAAHWgO8q+1lDKc4W7S2BAyBDSpSojd/m66d/vBJvo6JgmUJ09vRu03fMlDj7pELcgI1vx+hAd
6b44AI/39jQIiezdTgMwbtsAWIN0+PaNwAAd3WOZyLmvJZQYp++2CNwNdFWQtXqeMHzcCGhUm/xY
UOD29DS8xKpdQoJB7N803l9uB66b9yHB2RSa4Cv2dRGEit1uO4EGmwMWhOrhpY780GTEf5GdAHF9
X+tIkezvuAgaWSMFEgIpzzFhS/kAD1QGuLW3+eLul4N5wEann6z/JDCKzjs/Yw61r8fhpdWxS0zg
yFM7WDKy95vXh36zClLKUFCK3Nvb4fnb2WUR9AOm0+hNvO6ED8fBPlB1jdGtEJ/gtbeHYvfIYB7Q
b6Vitl46TD/eEcLMwaTZyDRqTy9KffdFsDj48LQN82eHQsARxY4Q4lKE4j2sonYPj+x5ZgtMoF/S
xh8vSsKjigkHg6p93QkvW3SXyABxUliDGOBLN68fIwM9JuiUZI2iKb+XO8HYvYIQ7FHKJHgtm+j3
YURNTADKoCB1vK/1tLp73mihj4HqEFPJ7YvAcXBMNP7REXreKnu6H15QNbscCjGj5m+0EGfavD7c
EdCdQN+j77GviZMge+2YQoNKAZ+jIVG1PTKI8Ij4lWy+zL728I7YvclEN1HGeOOvS+JDeKTuxvea
vOkZ57SvidNLwbvboVDREGNDvCROP7aaBIVBYS4HDWZfI8Pu8yjzAHWhDcvxOTJsWQR41GBX9hfC
87xFd9gJYg5BYUnS8NJ+/jFxImeg5wiF1NzX46Dt3HAD1obdDWwdEsTX6/Bdr4lFwLMZkI8QgdrL
xEmMkXa8I0ih4erqdBB+chwAtNF0RHv4ORTv3x0hDI12XgQiApRooerxfgsA87KoqZnN7ekW0HZv
LZA7Ewl0bAp/sgUU9gg9KMfZb6Cv+nxMd4iLwJgoFkXb8aWM2HI5MK0iZUJqbvPa012B2s2uZ4K8
iW4SPbeX6Pghb1IOiJwK2cK+NqG13ZNHhF6RDqSX9FIwfbgnxRxX/IeZhXjtbZR4Lv13ORoG94Bq
kh5yZ778qe9DJeMphjZwIvb1tny5xndZhE2FDYH2dVD5YT9wW6ocCuflAO7fbanv3mbQRVok+kk/
hzliAQVdCpDfXgfJ51bQDvuBPBpoMyA2VFg2ry2jCRBuMgZa+1pRffC4/H2iEP14C24cRpTPX/eH
mwLEJ11Y2PH7uggf5Ov+k0UAwCHYgT9pQG56LeLCfGl27mFk+JRiwiB5EtX15sV1+P6OYCegSYSl
3L7uBH33dNo+eJEafokJH3LIDSIWIQbBsNzLslLINe1YUdF/RZ0KVsTLHfEhJiCJAeKHouI3dsL/
4sz8xT2e+kH8uKEm40y2IcA+k23/7T94ZeN+fMAb8siGVffuX94M+dPzs58pJuJ///f6EUPaWVDV
ZfBQq5sZ3Jufvs7kNu/08vsvf+LHN3/3Zq9/1+v/eYjF/bp8QIhgwwd++aBn6wRu8//E/Nfj+kfq
i+iOv/5/4r3/61/vP+ybHfDrp+dB+vT6oDdEZNKMv//U//ThyfoxK18f9ObhxJWdHz5BznjbB+cK
3/nZ03W8bvlKqtdnvfnshIPdn5/FTfXhK6U6J6J8wsPTulz/Mc22+oeKFsnObzF7iv84y8qt6088
2Pn58/iPWVayeV6f9Wb9CfA7P39RPlXbnEXEHGXnhy/jpzR9fc6bD/4Zx/WwSb5n8WP98fEC3L7z
Rz9K8qcyWMevj/r70wsawe6PT4ct36gAIu/86JOncsuaC0Dj7o8OUm9LIFA+46yerqMtMUxgrnb+
2KfrqnratiafcUBPs+qP/0m9p/hp28p8xhFdrR8JwK/r8GYjfsYRXa3LYNvSfMYRFc/Os23RXSAE
dv5aV0/pY/YQbIteYuz+Cc8vH54eXx/097oLZYTdH57x2V+f8+bZn3FMV9nWNfmMU8qj66fyadjy
yT/jpJ6t8y0bXXQcdl7ws6d2/TF3xPjqM47oebkmBLx+yjdf52cc0Yt4/fC0JXcU3cmdl+UibpJt
yZ3Afu/88KuA1LEKHresjGBf7fz86/VDSUmQ1lvuUtEy/4Q3SP+YPCHSve0NPuOoXq/FG5Tpunzc
GsgEK+dT/opZ8ORt+yM+49SKP2LBCXgIqodt7/EZx1e8x3G2Lpptt5WYHH7KKp02QfXH+fegyrf9
HZ9xmMXfsVrXT9ue/xnnmefX6z8m6/L7elvOIHrmn7FSvMcUJ4wtwVqMCz7rHcpmfH3Y3zFVtHl3
fwN/vbUm1D/lUNPD2Lo0n3KYf23Lu+ma7NAFuf6V0+TuD0+zZNue+ZTz++9s2Xb+9KLNsuUeFj3G
nTfkzZO/3rY0QhFw94eT4yOu9/qkv8+SUADf/em/8sTZddFvGhpEyba+nJg+7PzZf21QsOuHv8dZ
/vVDvln0z7hzf6Hi/OtPva0t+xen4mOz9lXXcduvve9Fi3/xED+ty//+fwAAAP//</cx:binary>
              </cx:geoCache>
            </cx:geography>
          </cx:layoutPr>
          <cx:valueColors>
            <cx:minColor>
              <a:schemeClr val="bg1"/>
            </cx:minColor>
            <cx:maxColor>
              <a:srgbClr val="FFC000"/>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_xlchart.v5.5</cx:f>
      </cx:numDim>
    </cx:data>
  </cx:chartData>
  <cx:chart>
    <cx:plotArea>
      <cx:plotAreaRegion>
        <cx:series layoutId="regionMap" uniqueId="{063C4FBB-28BE-4691-85EB-2BEB48B6082E}">
          <cx:spPr>
            <a:ln>
              <a:solidFill>
                <a:srgbClr val="00B050"/>
              </a:solidFill>
            </a:ln>
          </cx:spPr>
          <cx:dataId val="0"/>
          <cx:layoutPr>
            <cx:geography cultureLanguage="en-US" cultureRegion="IN" attribution="Powered by Bing">
              <cx:geoCache provider="{E9337A44-BEBE-4D9F-B70C-5C5E7DAFC167}">
                <cx:binary>5H1pc+M4su1fqajPj24sBAFMTE9Ek5Rkea9y7V8YKltFgjsJ7r/+Jm1XjUXJNfKNVtwYPbk7um0p
oSQPgTy5IPHPu+4fd/F6Vb7pkjjV/7jr/nwbVFX+jz/+0HfBOlnpk0TdlZnOflQnd1nyR/bjh7pb
/3FfrlqV+n8QhM0/7oJVWa27t//6J4zmr7OL7G5VqSx9V6/L/v1a13Glf/PezrferO4TlbpKV6W6
q/Cfb51VrH5kZapWbzffI3++/SteJev71Rsnq9Oqf/tmnVaq6j/0+frPtxvjkLdv/ph+3ZZqb2LQ
vqrvQZjyE4FMQYRF5cOLv30TZ6n/9LaBCTkhnJjcgpEfv/UKVHmVRg/6rO7vy7XWcGUP/90eYOMy
4G789Z/vwt14N0YAfMDiz7cfU1Wt79/cVqtqrd++UTp7uF1l72TjpX68fbg3f2xC+K9/Tv4Ad2vy
l2coT2/tf3prE8j/APKHUsEV9H8/yCY64ZRwxpn1IsjSRAxTC2+i/AqVdqM8HWAPlKciR4byrdKR
6rP6ADBjgBkzQX7OZbk9ly3KLIYsugnza3TajfPWCHsAvSVzZEj/FecqXf/9OFNxYknAETPzcTqL
Cc5YnnB4McbNTZz312g3yhP5PTCeSBwZwrdqXZaHsMryhFmIglk20cML5uumVUYn8CYSlmAP70+W
7f312o3zRH4PnCcSR4bzMu2zA8xjC7gXYQTxp3k8Xa+xOMFSWpYQMMOfk6999dmN7ob0HthufP7I
kAXSvWrW5UofAN4RPYtgwvnjJAYGPZ3ElkCSUNPahPdVSu3GeHuIPYDeFjoytC/X6X12p9JDTGZ5
gsdpzDl+RBuW5E206QnMdItSCS7W88n8KqV2o709xB5obwsdGdp/Jav7rDzIxKbgECOwzlOMwdHi
hEiK5C6zvL9Cu2GeyO+B8UTiyAC+zdIsOQT9EicmlZbk5Gnl3qJf5IRjZpnm+AQ8n8v7a7Qb4Yn8
HghPJI4MYSeDAM+IsK4OgzPCQkpK+W5HCoJfmJqCcTwhYK/VazfaO0fZA/OdckeG/Ic6XpWHcJ6t
E0oRJuhpiUZTOw3OM5HAuDGbBEn212g32hP5PXCeSBwZwlfrZnWQkDYAaBEuKHr0jdHW6o1PEJYm
RE8mvHt/jXYjPJHfA+GJxJEhfLkqVZ7pQ6zc/ARsL4S0BUzk8bVjFkvL5AIs+OPSvmmnX6PZbqy3
RtgD7S2ZI8PbrqvqEEs2RMMweMnopXgnwSeMmRbGZBIH21uh3Rhviu8B8KbAkaH7XkGgRKv7QyBM
T6RAjFLrcTZvT2d+QiGMQjCHGNlzwv0qpXajvD3EHkhvCx0Z2ler/BDrtgByBelkmKmPSG/ZZkg3
izEXKSb55n312Y3xhvQe8G58/siQvQSv+SBBEQIJJ8hIPNrbMcq1Ef8aeTURQoJB3pzC++qzG9kN
6T2Q3fj8kSHrZHF9ELYF0I1xasg4Ps7arUg2OUFIUAtI9Sa2+2u0G92J/B74TiSODOHbLF4dbPZi
U3BOHxGe8mmIhCBTQrZxmqvYX6PdCE/k90B4InFkCF+Xq9Q/DMXiEhAW1ktFA1AJxiBwbY3k6znF
2l+j3QhP5PdAeCJxZAi76/jNVQb1hH+/ETahAoiZkIIYo5rja2qEiQkruUmhmm9Cr16l1G6ct4fY
A+ptoSNDexa/cbMSElF/P9pQB8SJtBh5Kt2U0/oBAukoOU56KCYZX5OJ/SrVdmO+PcQemG8LHRnm
c6h0PYiVtsYCP4sxDGUhD69tjs0Fgx884WH7a7Qb54n8HiBPJI4M4UW8TtMDzGiIdBGow5UEItMb
3tOYiZICc8omC/femuwGdlN8D1w3BY4M1jFAewhY+YnkJpRfo6eVelqwCegyioXF5STPuLdCu9Hd
FN8D3U2BI0P3tE6+Z/F99ffP27HAXljYNLfnrXmCLUwRVGv+XLGfc+vXqLQb4q0R9kB5S+bIgF4m
+bpUq/jvB5pC4Yckgpn0hfglZlC5y8BCQ33QDsr1Gs124701wh54b8kcGd6w4ydVOl7Vh6ji5CeW
icDuWk+Rka3YF2STETGhhmSydr9Oq91o7xhjD7x3SB0b4qt0LAgq6+EAc9warTU2EX7aLbXDWkPt
n4AKkkn9wO2rtHoB8e0x9kF8W+r4EH9zlq2K+lAEDeiZScyncoKttBSGvBUxIXS2e7/FKn2Nci8i
vzXIftBviR0Z9ufr8hCsnEFO+aGq4CnrPI15Q8ZqLA/EsHVyMyK6rz67cd6Q3gPgjc8fGbKwYr65
qJV+c/1d6fwQMTIG+WRiQbkXrNdPhGzTsUYnFuAPtSOTtOT/QrXdeL800B7QvyR6ZE/BOWy0PwR1
g1JP2HwDyzZ7MVxmwXtQjDCd4PsqtBvxzevZA+dNgSNDd3yIXbX2DzG7H+rwOQOXbBIvwxz8biqw
oE/Yb67gr9JpN8jbQ+wB9LbQkYF9sYoOkNeiYInB5YbSkZecMHIiMcOW4BNKvq8+uzHekN4D3o3P
HxmyX+vvhygIG7fNYYiXQF3Qw2uHe80AVWFOexbsq89uZDek90B24/NHhuy4KM2h7OBO6bvs5zr5
9/SW4cC6OGym2G1/IewNDhd0rKA7uNcvjfbx8HeDvHFhv4bZA+3dgkcG+8VK6/UB/CoIhsOMNoV8
8qW3918A5Ya3Tch3/HzaHnsK7a/Rbrwn8nsAPZE4NoQz/eYvqCaK14dg1+YJYoRQ8ZNdb1EwqPWF
sKjJwW4/eV7PUx8Xr1PuBcR3DLIP7DvEjgz729VdCY260uoQtFucMA4taMCnflzYt8qM8Ikpxx8I
r+yA/nW67UZ+xxh7AL9D6shwv1zdQzuLX8buccb9HcYcouIWgfIDyGL/xHQaSIG+UrArC0+M+f4a
7UZ6Ir8HyhOJY0N4Xd5BmzvnAK0AKbKk9auEf7qgQzmZKYCoY75zVl/urdcLOG/K74PzpsR/Ac6/
V3HjksdmgX/95Ec7JvDrGz0S2CNnSfzYmmJ7i5U8sTB0PAB3bFelAvSG+dWd8sVF5bFB5larx+ey
G9f4eIm/vyn/fW0c18HqEF0pgFdDVYEFpOuF6j9wp2CXJIaNkI/Me1Lu+WFvvXbPz4n8DiA3/gRd
SycSR4bzbbDSh+hKAThD4z4IXtKXQiLkBCKbSEBe4+f68Og/7a/RboQn8htw7u7IOpE4MoRv4tXd
+jANhGAf3FiY/bQW70g3Iz7WGJFfgZPnrtP+eu3GeSK/B84TiSPD+TKDrmB/P6GC3RimRBISTE+F
JFtFvTDTTbDKkGLenMh7K7Qb303xPeDdFDgydMdgng0VBKvy/jCd36DEEzY/QqrpKTkxnc2QiyKw
pRlm/CbKr1dsN9wvjLMH7i9IHtkDAFt+q3W5PkBjbWqdWNwaN02+1CgMn1jQJ8yi0/bpr9FpN+pb
I+yB95bMkSF9E9fQ0P/vX8kh/yipxWGn1RP13gp4oROIZ8NSTycbb/bXaDfKE/k9MJ5IHBnCn4AH
1QeJb8HOSGioTNFLveAe+oIBJbMQxEWes7FXqLQb4+kAe4A8FTkylMEujZ4VdIA7RCQTeslAVgJK
CZ7SkltxLnwy9n+DBmGTyfxKtXajvWuQPRDfJXZ8qANRgyMwDpGygF7bjIxtpF6oBYMeUiYiCDbx
TJ3qB/q4r1YvYj69sv0gn0odIeKXcFrLIQB/6BDHYZo/Ab5lsiFaRmCWS3MSJ4OZ9mZvpV7Ge3OI
PeHeFDo+tGFVt1fl98Os6+ZYTTJuonwhPgoW3JICIqTQqObhtWnHH1fYV6j3IvY7rnI//HcIHtsz
MLYIPERIDerIKCHQbf8J/B1G3YL1H7ZwTNf3vTV6Ae9N+X2A3pQ4MoQ/1NCFKjnIuTewjVpAJAUw
fDEFDWemYCzIJJ72Gp12o7w1wh44b8kcGdJfs/gQhhtON+JwIgr0AJzUdANFgzc4hg3Vmyv3vors
hnZDeg9YNz7/fwHpy8fT/Trpz11Vq9nDGYHPTqj7/bsPNwfONpyIPrm6OxLQvxpRLO//fAvboSlD
DCD7dfzgONCGozzeuJ/AbcqsIZP251s4bBAaucK2yrGGBDZemWMH7nb99NZYKwq9MdB48gKH/337
JoUmSgEcYShOJATRBWcQgsXQJBaYns7qp7cobL63BBUS6hGhPeGvIxxvsrj3s/TXPXn6/U1aJzeZ
Siv951s4FPHtm/zxc6O+cH1Qz2pBTRvUPnEiYCc4vH+3ej/uFoFb8P+qsg3TmITddV55hp2LyuVe
+aEiSeCEpK/cAafZB9Xg+JpUSXKra688NRCuT+vBww6uO9uXmVfZhUmvKFRZzKo46Zyeh2s6WI1T
gX9yHhTNd1m3+Yesz/QsKuLuRvp+7iRJyh1Ze9kHUzeXJaq5XaXSbVSQXSd+Udhtm/rvsc/TRQ2B
rJnfeNjVGH9MBhyfxjGtF6Gki5zVS9qLD35Rl/PODIlrNbm6jlWXOKYlvxnIak9lKz6lA1EfC7PN
LgPSp/NqkLVjRGnnYLgF1woLb96hSp4WWcau/ZZYdpXI5LTNuXRjn8rTPB0q2/f5l0znrW3mYWzD
zb+oi34RSeNrC11u7CqrHZmx0GFBfoZqcxZxH82I35xFpXHeZOIT3M3LLPNyG1VZZWdWndhpFHxj
jbnqLNnZWZt99ovoc8nSeJYHfmt7vrqtTB3bNDYsm6aYO5bvn0ZDU5waVrKmfhDbXWqdWSVRdjWk
tS1ZGM4rg/nzwGuRnbLhKwAdOtLKbzPDuzLj/rsY1Cn14hyuhN57vb4xdNpcREKUdlkNaFa04ooO
MrYHb7hiGUBa5Z1b9O1NlNDvhJafhza6M7y8tLMgOIvi7tpqvcDmOa5s7CNtGy1ZjvVXTlx32m19
ec2EqBySmKeWti6yLhGzjFPPZjj4mvvDO7CU52HBA9voBsNu0kja8Hx0jiWKSFzTHoX0OyIW65e8
0tGMB/654ZlD4pS49N2YldoOOFsbOpqrWpg2Nvq5NXiF7cmQXaImPmtCVdqcpaFNEnxBOQvtuGlC
20M4cH0m1KJn0UwUWNjaGMj7krHGaUSZOqYf3RUkN+0+UP1MJX09y0I5RygKbSsa4CYr7S2NXheO
zyLstDDBHQRPKvXz93GadvBkm8tOSG3nUYI+pIGnbc80T3GWdnbJwtbm0kpc4rXOYKLUpr237nty
qgzBlhFjH8rK+0bStHJ4RB1wFK9MzeJlazLLTtoa2Ty2loYozWte9ZndibJycqyseVeat02UZY5X
sQuk2tyRaS8dZLCzMq7VGe6z88KM8bLIFKBUSSemXzT2ro3Wn7cD7+ZmqxZVUarIkUm50H2U234f
uKKIvwcxm4ssh6kO0yTPeQc3NvmWB/qs422+jAwu3FhhfB20OXW92gjeh6rwz1JTRHYtvKumMDI7
lNaM9HKw47SB57xJUtvLu3c91q3dF3l0VvSDsGtCvFNUVOZM6Mxc9L4nXWQUepkX6bkfID7r/Zqe
acsfzooQGwszK9AsK/J3liHL+RD1Zwbyv+RGQm9IqDoHVr9oaShTOkGUnxm0dfzO92ZWmH8teOj/
0GniygCm8TsehushHCpip5JWpf38ZNaNlfkuy/tS+cHT+bq/fv3XhyyBfx6Oav33H8fjef/922Kd
jXURevqh0X7++tS/j3sd7dWvs18nVvDxjN8XTORv33yV/TQhQ/iy/bx98Bu2Lego9cyCQgXQGOai
DE6oIWCQf1lQPOYo4EgyE2PwlQSQqJ8WVJ7Q0XGCQ4BhuzM0gAS7928LCnukxw3SFscUnGvyOguK
tizoaLsxG3faQ7vgkeM9t6ANSUlVGLK/hqNq9RwZcTrTJtKRHVHhFecChR2zi4YZhsO8NL9s2/oW
JWzBRNTYuhxqWwWIXXRpV9hNSFK71uYZ5F6RE/dUzwmu5JUFNuG0a+A5JmaZ25ZZGedJ77OFDrMv
csChYzB0lxYmsnEwvEtUFtlem8WukY+zyefXg4gbJ80aZPs5jxyVtYONhU/tWvmpkybkXUSNeNnA
OuImHpuhMmCnBu86m1FPL3FUp8KWVsoclUfvTSzWbVTcZo26yJO2dEtkGcuwM7ozX8axM1Qyv0a1
9Q382/eygFE8HF1C8XXrmqR2dZfGrtfKS2TCraEEjJffvEPR8Cmp848yLM5VoL8hgy7CPAFlh5Y4
qQgvTNZ3dt2yyyEX92CYIqfvo8IRpDnv+bi8xW3hGHWV2IHVzSXx7qKAapuJbO4B8+BGcZmS/Euo
ksLmNPccFSTlrGX990GRK6xK+EXk71Xgxw5YmkLcaCqMfmHUaW/nAXyfh9rGKcrMFbiclXm2ILA4
ItkuCKrOayznuBzWgxBqxnhznnasdHjJwZToPgCuoHPHTEKwVqLNTyUwJ7sl5ue8ji9rg/puYeaz
piPM1f3a47AgkhyMpeev+j79UXM/c3nEUrcyh2yOURVfipjceGVv2dwq0Gke5u+CcliJQns2rgzf
CeLMckqwEnZqZcuGVJ/CMHtXowTZlgUURsThfCjmLE5KJ6BAs7D1rmv9z1WaSyA/+twvq9htjKSZ
CQseV6GZZ6vIB5bYD+iUx6maZYk27cz3qpkq5KfcC4Ed+IVTaOvca0Xp9oXu3IqpFeoH36mabMU7
Wjq6M5SrDW849arMdNsqima5byo7IWDJEB5ytzN90/Yr/5Z7HJ6pjJJTMC2X1UgI6pEaeCNJUCNd
oMAbYqN9ZwGPSEdCkY7UggHHSCxyCsdRVk4D7KNLtXZjgzCHB3iJRopijWSFjbQlBP6SdcayzGB5
74HZ1GH9OQSmkwPjCc26c7EPXIvhq5L4iV0CO2pahmbhSJi8kTpJ4FAUuFRoqtzWeXBKgWW1obzq
SHqrRvqVAA+LiwoBtwBqJkaSlvtlbVee9VVnxTsyMrkwjNbhyO164i2GuuUOGXmfHhmgBCqYjZyQ
+iqeGXn0OQW6iMugty0gkCUKv6Ujo8Qjt8xHlqkyelkD7QyBfmKgoUImaIY6NrOAoHojU62BsjYj
dw2BxFZAZnkI58WXSWy3HMxvAIS3GkhlRyMHbkY2rB94MYYHr9DSvCZRJgy3YIO6///RLD63bwxi
97+ziM8Lix9Tsg9+2oPUT4uIoTxn3KSEoOctg96YMOAviwgR4/GQIGjwJKAwekwEPFlEE9pd47GZ
PRqroaGdLoQTf1pEAr36YEBwBQWUaILBfI1FxPAdmy6lhHJd2LhsQREJhQY0E4NYDTTLi7rurtKW
ylkDUyu3MxqC1Yl42wATY/1Z2AG3nwF1rr7C7G8+RqYG86dlWnx+dvd2eLhj34OpNmAsoWkCOJ/m
2Ddj0zybaZ9HMqibK1Kk+MqPhtSza55ZgdM1VSbtpjXrr7zJDWWXiahg4QrLyLe9QXPTgZrH9F5W
FbqGMYLaJXGMPw7MEHjRW8xb497A3fz3GhM4cG9LY6jBAe9eAp2A44AmGiseALZ9dUU75vuu1Q3x
xwY6mdN5xfuM2U3f4dBV3BP2wK1e2X2E6CJpyh67ZZNV90GnNXaUkYMhqVTWwEoeoMbmJYv8mZ+F
wU1Uy7NEy0C7UAUkP+mgOI/ilnUzpQ3rUpVBkyx+f1XbMED1J4L4AjRqhjYGDxf9LM7Ae8NvjTzW
V2nlyU+ZLzCxzYjAo5GndXfTdqW8zT0cf/n9147P2vPwBuzsgJPuOIVW/9CpktBRrWdfy1Dnm7n2
06tUDPgKR0F9lerSUcILPv3+m2D6bH2ThHQrh02gsKNk5KLPvylPzX4oyiC7EjkyV0WblfHCq0RP
7CgPZqio48GhqBeZE1LWJv/poZmyULhKMp68bAK1he6M06+Hgi5gLWmirngRsVUS1mwVxaMObEj0
zCqzzO4RQL9o46IldhFlfF3FUi9b2ZsXnUVL5NA2zCIn5GnykZY5oW4g+n6dG00OTtaQcIfJzCxP
GbWAtP7+7o3dfCe3D7bEw7IBgSgC7b5HB+D57UNWzVLGPOMS116yUmWlfXDeoyo1wQ3uU/+sDVT0
3Rcyv+iGIphbmdkph+CG/6j4MGROD2bKMbOwWauS8vuG5QE/+72SJtsCmZoUHqIx2QZpVsYhmvdc
S6sUCohxRS9Ds8g9KdxKBsOiqzoq51VT107ZFehdk/SstoMg4BCWSBealPkiNnPiRHGRvM9jlnTg
qgPNasMkW/a6AkvNivyjpSPhekXqgUUOQ2WrikJMwAt1etXmhr4ujAGCYD6WoW0MXpo4pAmSU2ZV
8XsS+jd+n9LOjmteXFVeMcbwDAqhMAI3UvUE1gazHgYbtUCk44CJrx64tWeBJfDF4HeNdFoUmIkD
s0uNQYQ+sdteDC5umeEOYXeX66K6rZEBbKtNKj73dFEvTY+QD0WA22jhcQMrewgi7zsUqpSNrdLC
+FYnPIGogCbLKEvzJS5kfK+a3IJ5T5PoVkmv43ZTmP5Z6ZW108N9WGCTyOuiTbqZ2ZbFHOMON7MY
jrT0nab1ReE0JPBmiaalW+fyOvAMH7kYZ9UpmBrSOikKLVtUPP7SJSg4J6XMbxmt2KKWoUHm2kqA
I1tZOdOoC4d5Ewl/bnQdWhEdtz+0n+fMAb6Dajv1SePPuyrMYHK0LUQXmlrMy8wL3LiiyWkKHwWv
yASHwGqShtuhDkPD4V7LbZ6xbrDNKvYcWhlpsiitaOabdY/etRSbrtIlGrmeWVRzWrVSLzrKuwuI
JA2x965uC4i32r2K+7S8D7yAkOGrbo2OJ4EtS1jKszvSJ2FFSzjCq65zdFVFVRJ1Z1IVw6KRdeUt
k1IBEQ1JnN0ibtBl2FNaOzVg4EFQBUGscQgSIdzU88AeVnHUFjMran3klHEF4Z+gAB86O4163gZu
38WyurB0ReGJar0MIjNODbZwbhlB6F03MHUs3ylELuCBo5FO5mmsSmnHBRgvb9Y1ynIMDzLdzO49
lJpwQqqXJE4AkWFv3sY8TmbaA1YwZ6mfDI4YGKyYKYnM2kmC0ojtRve+vtHKSJJZ5ivxw6gbrpCL
MlItlClqccUMz/fOUsoriOs5aaeLoT/VsMmzDMC5CHgy83QDDo8sdarmfWwl/SnSOskdRvpYObxj
fbwoVaEMiJSa5LORQ6zZhfB5lLjwLzKu4xAZGm55moJvADR4SUtZxbMoqKz3Q11ROg+NjODzoA00
T20ekKBaeGWTp7dgjOlZ6A8kmtc5aDDLqtgfZgJ3g3RE2OftZSJ6eLQNmCql62Fcn5WUsdj1PerX
Lk8bgFNxDfwkHUI6rOMIDv11BSiQuLRPgmKJkTJPfcUjyyFRVFBXZcpzh9qLGERjy1zehF4bmg5V
RTjYSR4OxjnyYnOOc89noK7k+Qz3wZAtA4VbfxZJM2jt8XM2lkqm8Pj4tHC6VhmDXXXK+FamfdaD
HwbzCJzoIVWDskVjGvRDH7ekvrJy2WduKovqktUpmCRf8wgEZELhbnkqwOlXCOinAcT4krib6xYc
iXNc+dUHCOazFeu8xLMFhod3XqcdpzNtDQqUr3GYuDEtIu2I1psprIqvcdsCswj9sLnVzGq/52VA
TxveQlBPRAxB9E54MA6Ls7Cbp2WDr4Yup+Y7XTH8AXxm+ERrGVo4Fe55N2tIEqrTsiOkXabc15Am
MLj8lKJifDjDsNALHutA33S9WQkHFS1gE7QpKJZpWHTPwYLJT1QgeLoTWCVLCBzILltWWnrkJizr
KHpPRCohLmyGbX1ZddVIPoO+u2GRYXWzrE3gq7NsGBq7I0k1LFDEx4sfVYf0yKhXnuArk6VwFXXB
4FYFURYNjowamDp57EfqXVpymPJlDazAh/dgTSVVGlwX2OxLiDPnAQK427KrLxMjyLWtUF10kAzh
iM76piDjogGTyYErggWkk3jkyVWafPLgJIcz0SglbBEwiMV0vW+t2pSCGl0Z9u9p1SEIIwDNDc+z
PI3CWwHWYqFThK8K6RdfoYTNKuzADBQ5y4Qv63MvyPzG7UtetEBwe0jwELitDuJFfxfFEbvpao2y
0wL1TfS5tRJfnyaekfzoISIEa4gq4sAFP0DQmSJ9oOe5lcjPBvKSedLmPkR+TFjm+rIN3qus0ucy
iULmMgJOPSx7kIuzm4DIT2VoNP4sJilMk8HwqFyaaYaLdQILcn8Gfe1hbrTjij0LmQF3tGuGZgZG
pi3OcVkTy/FkXDVgaSnE3HhZhN9K2cgPRg80/WyQVYnvK5322k4w5s1StRBJmnUJhO8cs/Utf5kD
LC3kp6Q1H7KmqS67nse3YaMLW3B9aiZdw06H1gJwIoT1sMhjCPFfplZnXhgVMrNZUKRJc+73bR44
gukk+ABMRN8jmcIyAkunbuwo0K22ZduIAqxAX9zGfoHVF5wNVDT2AAys/5hX1JAwmPbKWcCNyD+D
lE/7PfCR0Tgx11a0VBLhd90YzVmUdaHVTA01PKSKVCG96aJ4YFeJlcexXeQNsi5NHJiQJAR2o2dt
kANqrUiVb5cDT2Dt0Dqe4Y52pdvERJSLQRTw9Edm53O393qkHS/XVvEZAnf4QxiU8KyBpYPYU+wn
+iaVKYYFluQynIsksFq7q78SUbcC21HU8I+MpEXrtsyvzEvTi0XzvvC0LMG4wxM9yxUdI2Ko67sL
Rasou+BlHkC6oEOQXfG6DHIUqusM/xLyeXnrJtqDNQPYWF1dxrEH+pcy8uc6EFHgth1Cy74wYd73
lsWVbXoBv3xgpU8p8ZvnSd3nIf7nEf99UgeX6q7MdPajmuYONgb670swjPH2lxMMz88Vfx6GeUzu
j7I/gypjon4spKPyVy7hV1AFEvXQ/wcCCBJAkhb4Jj/TDAI2SkGRloS2MRD5h8ZQ/w6q8BPwySDc
A9lI8Go49JD4mWzZwBTqE55+30jUozER/9yTZXx0KqFVAfj+8DNGdp67HjLhg0wb1lzHjQL665RF
hs7iDptn6QDeghNaycc+9InNO+NCpOC9hSxp7Da03CA1IC9QhR86vzqPRHfboO6i93AIMW0LEqyt
gCVODcAcq09t0l/xhC6ZgkRz7GV2IfR13nVnVl5bTpcUSzXErZ1oDRzQhxAsl92ipPQHFX7ltLpI
baSi3oFpRGZlZBT2IMx5HYbCMWNg1FIHX3sLoq06NvuZrPrERWX+wbTq2jZrgzgQo3BoPiCnbyvb
9IvGKVPvcyyxWxGrd0oI4DLVfrfqyA69InGhb/1dEXLlNJb6YoGVsiG2sqSdAJOluA1c7IvlmwvB
88HxWjoPRGnYVCenxGqYC/n4U90lidubTQkUpvveZ973pOquURYUNoP4lEJSOYkZLaKoWwpwsue4
GzMeDWQthZ/f+5DEcDucfskhlmrToBmTnNXa8shwpaN+pXLmnddMgTPICGQmfGtmpAK/J5qXrgmu
hKNGo5PpTi7aNjrHrGi+CtmUkJuBcpE5uLSQDuZqZno8m0NOCBJD4FnMRBBAMkcOGWRFU33ZI9G5
EUSBIBmrcteLjd6p4Gm2Sx0FM0OBu9Mj5c1SpNW5Qlm8ELKtbglrhk/t0ARuhoAiRDpGl72V8Dmk
9qOvWdmQM8W59aXRSfJel7i4CSyilpD+6C4K6VG36ePsDEw4BLEN0wwvvDbNRwbbXdTlEBN7SJD3
vROQw4Yl1yiWKUHvokziWQD54I+ohxu/8CBu980Ipf/DFHE9SyQBFlZBfh1qEZw+IRAZDPPaboYK
npsSuKEml1U/wF1voUjBv9Bp8RVovHSMor4qg7Q99byqm3PUQLqIZnLOWdDYZpdfmRWp5kWCIMpR
VrMCy3NwfXw7ihUwQzqM/rJM3cGMsJthoVye9Gie1TTIZ0TdcpqCd6qs/2HvTJokx5Es/YtYQnAB
gWNxsd3cfF/iQvEIdwdIkAQXcMOv72eRktWRmVMtkiIzh5apW1VEuoctpEL1ve8p1Vlzxo5qFNMz
xwC1pwAIY4keY+uwxiaD038tXu7s0F+nC1uL34SI/9sl/39bMb8+xu9/Kub/rOB9f7z/uY7/9mO/
1PHguvCFoUYyPBcOJf6XOo712Cxwfd9zYQ/jr36v4+Aw8TBIPJAZhT6Aro6/+l0cB3WPh2NAncLD
17H/CZjW36jj6N3+WsdxJMCrjjA/Yvvnn+o4W0THRybHS1mY9sAqHpz7ZjmypuqScOyfKYpRVxq1
a3RU2U+ph865G9cVA7stEsyK1R2XbRMbtd4ZERz0UOtNVw1FTOwKkVeBeiiqKQDUIzdCTXIPJcFN
RJsHMXo9IRM+dc2mjtpqfFhF+8YlWBGHRhj+MM6VSevBf54Wxx7Ctllw0qzXC3isVAo7ytkZXNuC
4yIvrpf7SjQufKL4vrreDO31tvCuNwj77VZ5aH/eO+x6G7XXG2rqHTeNrjeZvt5u1fXG8yhH74d7
Uf28KQVJwuttGuJ+Zdcbd7rewlNll9i53tbD9Qbv5+GGXG95g3u/Rw1YUQuku6YeaoMbiON8LRbm
WjYK9LUxTLpkHocxa67FReSOyfCPiS+45PTbassp33RhJ2MIXNAe5EB2vB/vpfIfWOk2476l0jF3
BWm6HSSqpOkk3XXhOjQP1Li8j+WYR1PsR3mw9ckMnijMwy+Vj/O+WPW4hV2pUls3t2s53NCgPTSV
vOlc78iMs9HDfHBqmmqLvvF6gJY2CYv2Y268+8Lwt/8n/eL/tuIBlBGa+L/vBH/b3PLn2vHbT/1S
O2BYeVgqdOVCflpk/6od/j9cbKqBNs1cD/wITJvfjTXskArx8AyGJ5FCGcZTr/67dnA8Wwd8LzwU
GFAQwP4WrInO5c+1A9o+Al/X7aMgOa/kyh96wKZC2LPCy7hMXKohLX3/SYTurmwaBzeoyAjIgCR0
pjXOp3G/zCuJde3RjEz8YEJIQq3vk40o10fm6G47lrB4G1JUgBDrrBzbH8JbYANbMy75llI9Oqnv
jM8Ds8E9tMZ5S3uan2SwUrAeUUo7z0/aaOrP8CXGOBSe3CwR+W7y4ctFD7Rr5wZeeUmKhGrQesUy
3q9kuYumkt51bV0lQs0sdSvwij2jdVzxpo/FyNt45QAQarwqtqhNKUZnR8ooz8oaLR0biw/SeAs4
kikH7tiUE2jCXIBssXlsfAgoKm/IJfdKQHAj/D4jebOLSEXiFv+8Laom7iOX4F8BC2h9zuLexwDM
/flcRfml1PKwNN7O9OBETOO9G4hMRypgpmszwYDLy3sdDomi+jg5bhD31C8TQCXr1kpo4P3YZ2zs
ZNJLmmcuc55aOzxAtN1BaGH7sLO3/azWFF7Ii99FP3SvbzrMH6iB8oCZ4jY0+aOYgCjOaDQnxb/6
Nti7Iz+HqOCocA4FshpEmPj1azlXB9oUb0tphmTlztcimExGwzc4Bb6FDf9smwi6IASWpGwMAwmC
j2Wq/Ba9qpCnooBWrTCzgyzUt2wtn5UbQfuv4RhVDSxBB31iVusGM8IwvNBpeGN0SXTg6UyJYoxX
UUjITN2z9rna1G4VgjykIoW4/qjx1VeVN/lJMbkmayyZElo5OoEOftsOVR270VxmgKB+BK15naT6
qEUTbHKffLS5KjdykebQ5BiwHfifoommDV38PLHdAGkSl+t2dN0idvOgRvtOujBtA3/vjJxvBavL
xGcaN4JmXyvmoEAN3/12hn4OfT4j5aDSkQ5faFgpXu1aJ7j32wQiVbUpbBRTmXMoN5wnXYF7BKM/
NGgtLYTZLvGh/8MgmbZiohxG2XLxp3znhc2tXJoLVWzvOAVUiD2O83w+c/zOITAPbTebhK4RGBn6
EvH6opoOmIVfrmleLltFCDTEAs/iNK9RJd1UL2BRdNnybIh4n2huwOWUzUar9ux543Zw6qdBjHvV
iZOp23pHvCGB7HXrVdMuGGcVRzPH1b4sl7ry7AFC5JscipuQooWg7hztQduePF7foBvZVo5vIL+s
XqKVskCETJEKSVjiCFLsx7I4eWNxInX7VhHY9WwexpiS/CmIwpexHy5erYIt1EeeLiWhIKAxGfWN
Wa8IiYoBZm1FALCTU7skzlrfzzR/sTleX9eOA0ZQH6UHPyegAoP7qdK2VPvc9p8dtM3MsyCVO+7t
XKFtIleqYo6PNZmMfPFy/87Mvoj9YlyzqRyCVE093anO/cKi7mNQFKcCfly8VLWPy7pL3bp4s9R/
zHN8732uI+iZlROrktyHjL+RvKxj4Td3nrPM6KzYF+Xj1lhnjTsoyJk3THe9HLd54z1OcgBZ7Ahw
z+wA7xywcVTfVV2TLlHhHORcPRWhaVLXYIpeWTaJaoVyDgip7MDK0WZWWRUsOrWuPNtmdtA76CV1
+upL2Pyxa0HprcRTeHOy3S6y/Ohb8OmaoFNgs02DyAMeByLkOAvH7gxrN9Ecidh29g6a+Zw5k2kT
xcXD4hfZ6Dk7nrdHzutpE7T9AYAJ0DQi4d109br1ZzomFdXhJq/X17p3N0a472C4iu3iyRFK+3QD
wOgJg+PJRho/6mE0nYJNX4oM4/SxaPtdOeRmZ3ERJbOlRRwG7naNyA9L2nMoULMX7oOxlRjA+k9T
FpC9u3e7iCwqcHcO65hgk9SbZk2aK0DCC8T9XAE3M6imwmyCCReBi3rk46SIioqloWoqSM/RYzsW
ZxuEn8qgUBY+1dlURXCAwA0aW5yJP/fxMvBLz63YesH8XOG6BQYXlLhRegln0QGE3d/14TRBSLB6
667iHWdnn+lCYsRFs5xhvqAXxhy2dbBgY9sP/WuhyEPYjFWiLX8ikXkrlYTgjroQDwDx4gpMPCoI
2ViPffdzBs0EPDJe3/e+7DRMCf0x5BZ4V0mmtJG+vYFUHqZ5293izDvPAf4OMu7RcBjiZuohkTg6
4/X4kVOw2NDGP3zZXMqSQxx1cgXOLj+TlkJUAae94ZpPqVhMADd5BM9vUMFyFt7IyMVd1hZNDIEA
c67YwYCVWYQ66UCjmZ3mYdVWbgun/Kai9kcIFs2Xdb3Nc7VFH4HvIJ8eSNiSpJu66GCdaN8aiaO4
CRS04SBKCowlCXXIcOE2SMVafylX6YTV82WJ8gognDi5flEn3LRfzGlEhkHtbdYOyZyuDvGb6LuS
YRi3wnkFRpHf9aw5o5rDQTkHk9zKIggdBAwk27tG8e5GV5WWNO4LV4gYqPlkM5fwTp7+00e718jT
NW307/voB93o+i8z+G8/9a8+Guv8guvjYRmDagoM+5cZ3L+yZmivAeRgTr+O57/P4Oy6z+C6RR0L
O+Fq/jH0hOcVevhdASZnjvn878zgwU8Y5r+1VBa6uIQwy2M7SoQcVXTNVv6qpaqmrVrllu7F88Ne
bkJmcUP5dPzRl2M2BWqJ3TpXO0ybTVIS/pybScY5KnsKAPy7qauHqJ55DCAnBeDuIqlQfB8ddz9M
3Uk5JXyksC8Bpk5pTiezUT75NkeLAAkyD8e66/bdBJHTFheAAfta8jN0wpj0mGbHvATesELUiwa2
a4oys7OTRr5JzUx1oh17q+iYJ1Ux33u+eeNFBKxcNXerctDst86jI4s+yXEExuhaNiKnx6p8rYr1
G2z9MS7DEipe6cZ9NySkDo81nMystM121RqDcxtcZGED8LfB0YbtzdSMRzbkHy2fjwVEOg/H7l2w
QJUVTY6yhBlbeEg+9WE2IMf63sMKjmdgLHbonwvP/RBRiTrSwjGmVfW0RM7HGE54IxXfKcXOayVk
RvAecledC9u+A2gfNlOuimxeDegArwu3TZjDeMG52jNo3G1+Gcb5W02NjlXknRbWbU2gNPxk9BYT
Ixs2iG2XhxfltT7QXrsbZwI92fLnkvLNlR+fUTdcw6ZkYOVdU7tBMjXLiQ32NA/Mzea8fS1k6OM4
6Er0HOq5G1Z0ycq8hnY+zlA7YzPUX5r1Zzii4iSVuOHwMNPG0AxdkUmI8XZDDmFg6MSjV/V7t0UD
ziLDDzhgoSZS+dGI6EHk63ZU84IOuz6sAAcgWDqfS9AeLW02tDQv+DNoQWEfBxNDWsorEHEqzW0z
lNWJL/UjYlRE4eQAZ0OhaaXSB50SjcNXTbodZM4tnTCKYAWR2OA/BF/VZa0GIewqHHGTMzyQqd+W
oXoLVrLlYhRIAYbHoYygrWiQ2U1T342lXDcdQlWBsSCx8ylbZYTcGEanRNn+3PJqiMsaDLgHv9YT
+qjCYFPx0cYKp2mg5kMpTZnIfr3pOT77ID8aG5rYYUW0/hiF7l9kY0CcCeipMdVNdO+12G0kYtbX
zp3b8u4e+EddbclSbIzvbpSDGj96+ZcSy2ceIi4hdQX0B6dQ1CzPA+2/GzV2YKD1XST41pHqjrTV
nrE6TDB5pe0SAcWLprSoXIjmobkhfhXgzbVZF0XwCJZyp80SZDIP5phXkU1gvtZwNurU6AWH9/q+
UC9FuuEby1nm8vUJX7SMWens18I5QSNCM+zsG2D+FHkwUVYpd/JdWa8bxRqBMQmDbmAPfmteSNen
MlxF6tXLZqrB0PhFeYqKDke58mK+RNuZI+bV1vhCnk1fbtdl3IxsTqZ63BfgXmLVwB6th1QW/LUG
Qw6pXJ6mFs6J7Qq+WWp0A1Y1O965N77hP4Y5wE2wJusC5EMFPPXb9RyM5X7uMRzWntsfvXnGdxti
+kLgc+h/jP10KReWDmXw6BaA4Pnan6yKaAz+IAsU7kKXybhbrkkI5T6EY/7Z0Su2PtV7wwVLhmja
IdGJ/r8Ld4Ff3+aunY6yLXBSh4AIiimRwXieo+a4OE0T1+jwA8HeEPaMDWW7Ef1Pv7pbHo23BZ1e
XK/d58GyoRPCX6qsUP+WBkFWqu/9kRtkR/pL4ApMqeXu6j+1xXSTU/uIjGfceeYu98DYdOj1uhCA
BV9Ta70NpX3mOwTYxTClA0ZfVGF/w0NzdBu7YU0wJRwAS9e636t88GLjjd/8glXJ7IX+nkTillwD
I0LcYXI4cbbCwbEYB6mdDy5VSaRnmahWlFntFHzvi3DccrncIt65URWGN86+fM9umrpNB2qyoWfO
pii6Jpkdc1lNe2si9rQUo0zqMASQUYc8W8B5vSo/X1PRTl/lMB7l4qK/bfal0SfJ4faPfXE/Wi/1
iv4rFGs2jqS9kcuyAQv0pIhn43BSz6jA2dCEd70D+0+4/M2h/cvSLce5Bq47gOhD93kFZIDWwayT
yzUsK46BMSjjwbrPO142Mcm79ZryHNTzhGSGSonTkI1jzZywhWWVW+y9EMnJdq5h5Gj5EUz+mK4T
Jh/YTO/c2gvpaz9DuyBS4RGEGC1Smn73FZkJMUSjzqaIUC7XpUmlLl506d1C7boPVDNjTg/iRQ4/
Qual0GcPkbNeBrrsLabIpI8I0L6weVpW57ld9CNEaBUDWklbBBVjts6XSVFwGJY92AahxQpJkLse
g0oWVlG5Cxo3j2k+IehcE3+Sx1/6qf+T14ts2p+sXgq15xpjBaQCtRE90q/tydBhx8/KfX4hD3X8
Gm6m2y4B8ZPw98f74awPyNwkZlecwu2cyp3eyEModuVZbv/T4P5scN3/USj+Z4V55/OvQvH1p35v
cLF3B2tu/asgjA4SZtIvDa77DzdCLAMN7M+cxR9gAY7W13cRZISE+1O+/d1kYniuI7phPPfP51jf
BHf/75hMf+GUcVkjbYsXyPDYIvD2fxKKRQ9VrfRZdXFI9yYKA5BqrL6TNdxXBE1SiYt76McsCtEG
TPB60cLwtbuZWQ34bIbJXxddHY/Cwb0yehuIzBtX+w9zMXkZi65xIbGeXJOn1NEgEol5LpjXJhWp
TjLsoMk4/a5Sw3tNFxGPJPjI0bYkiN0KRKOX48KmDzViBmUKjg3G6Yyu0FXJikrrjk6V9nW4pGB2
kHQeEdIPVpeiGWnWTaNRHdcwTD1RHcclhDIizKsPAjsFTPWhXXoAQ9HiUG6QUJ6QwqyhnoQSwHoT
8VvLycuUW4yFrFAgtJ0Zk7nB/6VlkVjRenFdizyOctRks0GmMI87SKOxNy/PVoqzwbHUQjyReE+x
XqEe1wg4zoVKJyHqTDXeOSfeY75WBoYVmiysXUD8YphAeCuHxUHg72p/LTB8ty8s7J2EQl8YRRJO
XSEejFe238AQPq82mI/mSl74ZthWZAYo3PXfkJLcF43a1u2ME3cMdRzMMO9GHwKpzNlZCu/Z74Zr
qHO+OFjimik12tQLrcgsB6Mneu5sHT3e+478CIF3bMErYouDUkdN383yDlQTohB9H1Zfb8fe3VYj
hNYeRVo/cyKbh8rF6PRZCPsxL/Le+lB1o7HVaI4hdrD3npQ3Oa5vjOKNu1uMpy9en/NLUOfDYeV5
EnBYcHNEIa6vZexKt8B5z9cbv7TAowpdz1uQ3i9zM6dRUcuzv+hP0F8QfLTgmAAok/a37MH/7246
rC2UpX8/yP++y+evle76c79UOuSrCbb3I+KMiMkfKx2F24XVNh7i1Bzm1i+jfIBCx1wC6xb/yR/t
dIo/QMjs5w7xqzbwNyodva5j+eWs/DnKI+3mIzqCLUr+Nbr2h7OSTCHmA13XFxvKgw/zKpgQkVoU
II6m1JsJq4zBCVXnAHTkBgDYzh3JtmjNRY7ozKsy5bN31xAnGX1ymIf2XY3BWz5UiWpAXFpyEjzY
WUn7WDl6TWQk3oa1upsggGWw6t8hVtAkkHCY82psE4tbFclscC8V0MqY1aZ50b48jqNmJ1Cxt0xe
ZzXNXaCtqK5cfUcebuPnBL6BvrTYAhEDXHydyURj3UBmDDvEzkaFG4zMxWWk+oNqDXsZxkhiZUTh
rCiyD1d2Miba+3n96K/LJ8aK8xDwa3v6CJdCp2Ultlg1cqSh9WM90Uuoo0MF/jzmMnzyHWQ8tPk2
S7oZJmQ3egJya+bsNuD9sar1pZzVTTkjreoQxFPCGWZSBL2c9M4LNkLAGENe1w3LE/LHSBW06xFm
kNk3YdWhhbdkA9Cs3gDx+YYAw204jadgZPqm7e5wrmxqjPvQhy84Hjejv8AkRC9+TcD46AR9AkKq
cl6nIH+ByL0BKQaMbJpDpGvr78U6PrWO66e1BRFGlvJmnfDRdWq8c5ccp4Ki9XMX7Ok6MBMbJnQM
y226AZG8yTHnx3VI52Qdpwe5lhn+d7EpMLCkpmueR7yMvLM2UYWzoNTqbVi4+GwYSbS7HrsJ3wPi
Hkh9uKxK9crceF39+4Lp4zznH0HXQgSi9DHQ9N6BqZw4hp54jUNlDCOZyBbWD/yCewf6Rlia4BRq
6ClLVz6yvPnB3AJIbn1XwxQrm/5ZcIwvIFewogJvaoew3JxgnGQxzAKRwAPY+IFZEA+AOqQLtWmL
MbVYXxNahXl72inPrzJk7VaYF+MnyMU2DSiEHDdqX7WuM47pGKc3Pu0rTZLAZJmRoiYDYLke5AVD
r20XnDZIv7Vnu/ZPnVX3eTsC7HNLmFQFBKhiQZqkHuHnVr0+unqp4BYBxmXDa0GjE9bT3jeTRs6i
4HXiEGu3dVPiaM77ecMRX0JO1PvWNt0Dm/DFh7NI19DeuGP+kU8OchhTeM9bdo/EyG724RWTPN9H
14M1xEUfgwraLFh0kCB1FcSeUFi0Mvfz9eicEseu78K3QxJCcU4qfKIxUJaDmZzUVbDIV+gZpKqL
C6futrBena3q3imxTwHgzCTsO1DodzPRR2SlHlVF0nFht8rzYHEIG2Dy8wH/Fc7zCg07NlWUSWs2
cp3oAYMbAhTEhPjaJyQ3nPUd3+t6QCw/0y32ySA34aeeE3x6y3CuXOeMLURNVrC1yZCZf9dY07O2
Jkzg0q/4ugBvr3MUxWsP9gZo/EMdzRp5e0O2uSd4grYQr2eqmnQecQXiz7+8agFAhAMfFPXVQa+c
+250P4cal0RA6+Kgo+ip7buboQJv45Hgs23dS+TMm6FcaOx4VXA9tTEZE3iyru1POXG3C1a4pDU+
8WPX4E3DypxgPDdvQV3BTMBmpRQpHZ5MUx/EWF21ywO67DRZ3zta6C1HaQxUsen80UmkDM4Adi5D
5dcxZiOWrgX6zbKeYxHo225wt2UfPLYWtVKTByI6eJQWuXtXR+/YJXUAn3NAVgjrawqXxqE7PjnU
kiSH/p9VJXicPsRFrYb8baL2rTfdvRwCsROVg7UJBMwhChzCWuNDy0id9uD/oMNhzYPfz8kc5U0s
6v572VcoFW2iJVJnvd2KTtaxFwyPaz4/K8+89B3DtKjGl4BjPQLxZpK6riePdiihMyEhgZgiTG8t
ujWuiL/vh/Khof7WtqOG10XeZrW40JpKBFR4mTAO6cdvKQJf3vNE7+bhYPPXuTgG0r9rSjiwIX0u
YQEXfo2vpjFb2ugbr9XotSsy7JCD+yQo9KDp+S3yV7i1AwhQCGBXcYQMTVZFMPCLIEg1n09DW91P
8FejpUL5xYoju5KHJsT+Lg2jpxDjS2SuPVtnDp25mShMzHAsYgG5I1j9Iq00L7Ze12P1VV+8kNVu
q6ovT42D8m+d/szXyNlM66gQd1tKhAt8H0sSGL6tHAGAVhxCzpxk+NnhkZ/d3jpi5QOc0U92bQXn
BkBwK1Cxo5fy2ij2EADAf3R2vSE/G8kB3zMWU9CdYNhGUeSJRv065Fj0dSF+ry+uhT+aDybYT5G8
gVaHjnUMVmAby+KhHrMuw+FRbngnNnVIzl4b7lGNDjTHpcMCL+6NY2HMBv5zEbWoEFMn4mBwdrIL
boJgELtGup/YUvWZr+I7jpwSu6KW3eo6ac2i1FMu3jpe4+ATnaql+rEUqgE3I7E+pISMhJQXIof0
VS71BLTOlNkMN64jg44R/4PG5VwlZHoU+LDb78Y9kCC/V3m0c7Bo66boo4vfLthqMtYEWVP3CR8/
TnFSfbZLeUAQNNq03XLXD3RbImSRhn7UbJrFxRqV3m2hg0KFI9382pilT5bqIQzWlFbhU8272xVM
YkytwrYpuumL6hZCex0P0EGJaR8jHfxAcb01fG6SSuISKGh3T5x+gwJHtnMAOpgThL8l9pNFFoI2
NRA1y/oCs3UFriPHrOBqzfrF4HqYRZVKaiXa/SGrl0pCzwuQStLeux2wIQchr21UlCjOjN5gzHrt
e8SCoypKdO1kBHudwpm94WjZTDM2eHXTEXfuLvKoG3ezvNI4bVIW1XkmOGoVORW5OeaVfoGP+Trn
iJOFTfQyeMtZL9GUzAV34tIhLZaqiWeQjE1CsCrHFoc+6M+LEJt29oCSFOxOhuANqUOfxnY620XG
blN8r4Lw0CkCq9NfT9PCxh0yQIBhFnquCWsSWqMQOhDFwdxjiUawU9o7za49juDqMS/DnKKWvpRz
Xd/6kEtTYZhzDfN56SQDG08AppIZckUc1g3IeywuyOBo7QYgOljMU36PZvQwbBlvo3bwtxw7AraC
D8Op7vo16fwZDhFW1GCFy1ZVubPl9Vyi58wNbq6wAvv1SI1zoEVUb6nUe45uq42r1i9pbCcOe/8/
stNvshNmk38/jv2zfv/Q/V+HMRc/9fswhsdVQlvC85VQazwWXpda/YtPJP+AFhXQnzPaH9Bm9o8I
y6J8PJT8Zwzl170feJwxiQBf/J5sif7OLAbZ6w+zGObNa0DFxcIFGLgRA0X5x1lMt2g1wzUfLm7l
Pyo9PHgDDMZguFML+pB5CuRBuCDLSLAr17VMa6XyTT6h/zbLmONgaTuUbyygQpz03g1w0coWXSdc
Riy/seTOuB2WRnD8rgbgCY71luy56L3raqaHPgIvZxvNYqKXs9O5OkYBwI1hJydxljBPIxOVWXUl
PHozdzduUz/iSTjhOZpscyo9LLjRFFEDkUPx8KpoGwzAktmk54RKIA22bx5lcz3fnRrERT/suxaQ
DDMiG6CdI1ZYf2IzwTNS3U5ceeFO+86DYxW4j24422uA04Y4FThyN104Isqi56zp9yU5EeF/TPK9
9xN4JDvshhTpPI3Y0mDH64GmqrSpFpV6qFtZu5bvs4XqBjLsYzTzAfUX9pSLN9RP+R5Wwe3qoJdF
8+jY02jIYQnYt7Cke+2WAQyb0E15FJ560d8WNTZzwVbE+LaQi6J9Bb1/zAj2dCXGj4bYCDHsox5r
xZDVvvfEHNxxR/7AOqO7oWGIalZ+BcJDko3XaS+GuUPgi0FZbHNtskr1JbqamcS9y05eIffrWAQx
LPe0ZM39onA+unYkWefDUwB3hh1GHKl/bEvtMtGZ6UEY109ywl+Eg1kLuZZt55aHQUWPaLDeiSOa
bb2q2ECFKifJU+1JFbdIe8dt0O5md/ISajroAngvtu+23AcTqHLSuLdtYJoHLGjDPwwCqFX6YoP+
B/ai6b03Obe4wN+5LnQMrKk5SEVecYyce6TVU4cFWL8y+5/LPH5O0bpuBrMATRtYjt4p/F5DRonh
psPiAQm/KbDvLfQEjH/mHqayfGstP9qOgNTVcqtn59StK3wVl11Rq5zEWuVzjJzTjSktbp/pUYr8
eycj8AA+Ivvo9x5y62NQ9MaXzo/A/hmxYyF8gRWEokZ6Bw54s6cifOqlKw+TaSjANvuA3zmfsIlu
QoJX68wI2ic/09pTj9g94dcvb/ExYtCcpiQPXgZd9slkMW8PQ9McBm9cksXB6CHXoouroYIEsQz6
Vbj5tfWR/W1JQw6csUuXZoURP9bPzINtIwzI4Kkk8eDpAl9Q22R5BdZiKFSBu914+6EASqZLKtPe
G/euZe6+Y3IfkbzaAjEM4o76a4yyCEARIc+hNDbWXbMLDExuh6alxmrWsoTH3FYYRG0YmARh7gUG
q4xSLgZsTQMwhwh36gThbYnoGsy9JwgGx7AfD9pfb3jQP0zRBJN0qLcSEFXc1LnFblZyMy3jU6FD
dB6rvK2D8U6J+Zmp5TzU9nXIEd9SWCYU17p8pkhMBYu7W4fh8b/YO4/lyJEtif7K/ADaAhrYIoEU
FMmkZnEDI1kktNb4+jnB7i7R6lnvezGLsdespMhExPXrfrx35I1jKOGZVZXOvX6+yLomsEVbbYvF
6TytnS/DVr/OyiUP5kkNbK0+04ah9JZu+DDM8DmJ1CuoJkcgLCdibkjmY/cahibBpmx9ymPEXqPB
F0Di/LkrbIyyC8atXgO2GxusUGvpgONdA3VnyR70ITX3iWGVXAMw4wRxBS/CTCr/vyP88wjX/zGf
9K1m48+nuPzCb6e49otgg2dh4Id4CIH4h1McEhe0d5xOro59Sqqtv7ujiJMSkgfgZYKuxJPJV/2+
PLIJodo05HLA/8a6/BeS6p/oU0izJAw0sLxcKDR5/fhp+ThMQ1NYrEBFdWojI1hS+9d3Bzniv86y
8p3+QbIlDmtxXeAnJDlrSMjOD0wma4JeO9jDcNUZKeHCB0VcueZ1Bwc3PGEu7dTgh3vUX+1T9Z9/
JikS//yK8jv64RW12WkTCBNkrupBYb8L4ZYPWEUas4qq7npqK4enJHYnK4Nv2Fn4bpYmaMIZEGYP
6ybgDLCeZ83VDhYBTwmkNXymMt3TnRjVLn8oHYSguhVfRyX7cGflqVyBcquaAQYGb2kacdPmM256
uhY7QcsVgsVUEu2NzNqhJydbjGX422t0kZCF9iYhiYX3fNABfYjWY312q0zOBnvrjTOO54juOMSS
8UJpQv5KKKUFGyWGm95nFPcWa7oOgWHi29C5TqinMdY9EiWHUjCwZ2l0TgCTtZFy3ypqBGb5eVz1
02zHkDLWjhhJt0t6Y2fgZ44THjUx/NGtUrfdDjLFZTXY6639mXpqPxNQlQxDWaSiUhmPaj6TUmuN
/LkZihZVO4+Mix443bEsVkwfXb+iEerNa8atwLKmS8UoLmo7OczZdNm64VER2ZEp/lHNcbw0iuJ6
7FW3oK3fYOJ9JT5gBpNpXM61cQZ/goBEfdGHE26G5YAOcRJrsynDxk/m5WIixT844Hl6cqjMUtN5
N4rHZtACw6iQEsr13szZUaLHZcdkKE9l1u9w1RyzNTsTFbL7XPMMz+Ck42pxSq8bM+EZPK0xSN03
/dJyHotoqxX1cBiGqd/lodZdO0mzXOTA2ra44tDPv7rKdGXEzk03tCqSYt6zfGy3al2chXlyGkrl
dhrLbazwZ0E0DZyE5EHRf7VjHFSqlcKFnAJ3KMjazapPvtA3UuJ/A2dmVxOpwMkzteMWW5WPSQak
BMmBqsK8YJyKsGk204z7A77PeDMv8Y0VqoeWa7ZTO0+4JTazbbZ3tVB0huL2o2RjWYQuRvDSW1cc
ugb2ODUb3wUmj3JgRDXgzfIEO8BGsTY6nnKLPaoaRqc4GS8NMyUYV+xmYSIvgYuZw/Ouq/Y4qrnE
9z7y65EcqK9NyoGP7fVCbtwLE4HObJDBc/UHo+0k8LLYNNLJwQph2WcTnOs2LxG1o8HTF+Us69a7
TmY5WLWifFSAMYSfpiNv6zDFR+loL+6QvjDYXlZNnrJOACEydYgNYTcVkHhHZ//fofd56MlT6O/n
VoCVL+N7+9L9+dCTX/jt0GN0lT02pGh1VmIGx8q30ZWmSdf8/fCC8Pz90HMoT+CLBFA4mHY/OSbs
XxydgVc6eCXoUlj/anaVy8ofDiUOI0en2NjilQR0Mdf+w7FXRjxW89FBIxR5tK/RQuKIvUKLOjLY
40J2VOsu5kGrdrpYuT2hppQpaTu9LF5bKbR0SrfndmgGrs6zPpos3UuNuNkMUqJJ0ef8WMo2dmOh
IE5zcWoi9zGW4g5Jf30zo/dAJrpo0X+cygVIgyLULPVjyMqKuJNzuUrRyK6ycT/k/VlUIO1lKEsr
2igauX1paQZpQPSnHiHK5ZD1yzZhZm5fCDyWAGCih7Ewa28CFAgaC2ErG9dLC6VrlpIXauyTiwZm
zRwvaGKTjZfOhLYLqngDLOe+bEPhKSrQs3A6t0kEluhraqR80dDbIhRTxnMbW0nNs7x64rQ5khRI
vdicd+PM1Zk3BUE6Lr2lFPQUG4VWSnwEmnNfb9kyLDjGAscpsWCPMsKIOthOM7n8iENMCofMW8cp
54IerZO6g82wTa2GMXLkcZSp5UbRVgQy601DkcyGZQvxpYCTW55mNMslLg4JACXCOd3JGuz7uAmj
oDaWJyvB4ZFM7MPQNUgtlEQh9GTp/FKzd327XrdzaW95aJ/NSKnxSijQ6bV7K25VgEFaSLjRvUpH
WzvmSLGzE902RyM+WMzuYnLOrQU6B1b0bWKPGDYa4Dj9mgY9SvCuHZyn2AJAMDQlK+Mq2WHPYZNS
VG+YKtnaSsFda9Rtjny8iChY+mWfLEjIRZG+tq3+TgDlfaoEmwwkaIkNghKO21GMBDqX3HjQzQxC
2uKgTyBiV4jZLDwPOeK2OcTb1okY/MC0BYtUwLXIWnbOp52jNIc+mEblOqmnr+6aTe3GFKTDBVP0
2iDG2szVhsIapmHSdi05vWkhyowD7t8wnL0mh/OqnV8AiN3Bm/DxzgZCJtF56/I+ctmLkwuM5ZjP
idKg/0YzZRkDiyogORtVCgN9jtijm/mNOwJCJeUlM1AYaq2LcOxUNssIDHmU8rmw4UY4CEJbXQoR
AFTEVpHihIBEdL6gV4ToFroUMHqUDDoShCehl4caqrIX9xOkpZV51GCCjsR6RQMI4Dwpj+hxfQrR
S+JCCL+WEoqFlpJzH+zRVrrqmvVJ7bXILjiLw8NsVcdZXr1GpBlXq74CbeZihmhTGEUd2BmhQ2VW
Mr+W2s5kSkWrMSM/XpUdo3e6PmtSDGov0vTQIRAlVYNGG/I2GIvwZZEqkrY0l6HUlUoEJi5Be8Jb
CnfS+EGJsvds4CNDlJP3NvJU5+LlknqVC9cSnFJ+B17yw5WiVjTzvtOlzlURujGganpKzRA9Rk15
oWizeamikCnEWo/ziNsVoGIa2O4a+rOU1IYwJMbZIrPF03g5tpmD/IMEl7vJbdzybjaNiGtGTsrL
CPmLA3EDhbqs1zCpLRJ1OmJAMa6bGq1Pb9rBF7ySF69N6ClSEiQwH7It6lO/anpjD+tklgJiRg6Z
m2tzXRj6eY7GKEJxF8oRVtXGs1AOtfq6zgmribZNIdeo7VPmmt0UWB3J1003pJgxRhL2/agXGupM
WMJbSEi1ulFs/JcR+o2cxCH993cC8If9Xzko+aJv9wH0apAaUIuFLLmzfpSymY+lgkxEx9ZBBX/3
FRniF1Rs8EfyqP6NxPT7EOzSSM+l08V6qduqcI1/dR/49A19jwhxH0DG5sLh8N2ROmJY/3lkHOu5
g0MZ61fdbAhUrvEwLUbjq2Tu2Uo1W4wKhNb75dHWwFh0kfHW6lhwEFl8U6Lm0hkSRN+S2OPp7JWi
vFRSBjmHTa/PZfw4s9ryMdcQhamG18Utv8QJj/civ8mMdFcu/ZmmazdNzfMvbRa2Z7XW4crRLsoC
kmOk2Pdd5lab3C16IHDhPQyoRxaJcIQqwrXWXFyZkX6lTlbgNtWZnTcUyKz6YR3DdjNkmrMZ43kH
DTvQnPoDVAieisg8K7n31Ev76iQLpKb1YQYu4mUan1wdmiS9E0VJSiDciBkPqF3HD5M6PGd8MKlP
iffaUJUe6ydckbGOvQLhkbYI/ZgVzVmeGeSl2/ajGWPVm5UK6TB3rhK8QxgomqvUHOuzuegxiyTI
33ZBg0UWt9HGFVF47KxK+GivK/OgsX5Q+JAdR8N+WxN+uXVYxNcaXDgv7tr3mMH0Mq3yg+kqqGFa
vezisnOuOuqgOCYm/mpcybyWXoFNVhDuZbaPKd5QrR34p8izWrB6xmxH1yLSVTbzaeQ1EfnvopT5
4mmqvKTQSSkuebrXdYY1JUm0XRpLvjPJKd2aubyh9wElpK5KnQkr5EaXbA1Rh1tjwnHRFr226yu9
CEo9vWBmPl/7lCS4euiXaPWTwvkIV7ZrqV0YgdIlur8MmJPU0KZnaojyQKSxwy9CXQK7bdxdn/Ik
T+eWEAG5ZISFFi8WNMwbLBvObqjNOKBlLCUzG4Y+11zW7rquXOeqa3jFyk/azJaFU0lYWydS+k26
TI63VFEdKDA2iT1lyZmJdryLtPhu0brTMIgyiBVngYdQv1Y5MLAktuC6Nq5xVrtokpEqueSr/BUl
Wvk8dWZ6XwIU9TqJYlgklEGb8WLlEtRgQtXyYglvSPi9Y/oibeJMbB/jyWBMteE9ZBL8ICQCYowK
ZS/6dDuYeRCGJXIzaEGvkOgICByFhzpPTjcFLNFKxIQlYRMr2Id0Hm6sqciC7pNIkWv5ESRxv4da
+dGX62uvjvG2r4kG5G7eXiYQCDf6bPl521jYx6bwwlLscYc1y7jRoGIkbtXjHfpkZcSf3IwEggaD
amCvCvUrMe1gnRM3OyVZ7lRlIsEA+2sjYHGUEsoxSTyHC6cDiy1hESDWEHijIJEwD8UQ+0TX70d0
7g3MnruiSc/stDxRyLBRFPuyM59DWzsfKmt8Yj/0Pln9xWwoilfiwPWdaZguBo7jvev2eNDobfKi
TFxovFpMingcjQ/6tDQuWfmlmCBhjK79sBJs8ZJ0dWS27Wtnd1IWKQ4VSgP1BBcgzKBDS7xZWTjV
LkukSW+MYZ8t1eyNUMIA6BeHssMIbne6uV0W/oRqU1wNSnSbz+GzqIYvtcHjAczCSJVJe55M6suc
WRYbNB24c1dFWxV/pgoJoMmMVib5ubiuXONzGuI6Z3ocEBZ9WzFOJKLYWRd2ecDKxn/ZC+4FGSU3
dV+dD6nYA3YsN5gGt6momqsE1BwNHykjzOz6GBzeO5LT5F0SH7ay9QVUT4Edq5xpiOnfKsM+lIP5
BM/RPCQFzRjt+gqFGtZyNe/5ofNtrGHHK9TVzy37GKc8ZdxKQdCfSNpDhhsrda801n6ZGj/VEPOU
ZLqWZXG51rHSSvLX3nH3dqkf1ajeKUazi2As8zfFeKHy/5svsZMkmy4ZPrrEPgFt70nXL4e+MOJg
oA5FMbJruLgKZwF5fX05j/v8unAVX03iuxzQf2zBPBlwgQ1FQsKl3wAlbbHadbZXLNhg4H4n+cYR
HRF1V9uw7n0PZc8N55iy7NCtOocFIfGryCpvREI3zn96yadeIuPOf383unxpk/LPWon8om93o3+M
TwtNB4fHJ07VuOb8qJXwJ4Kszk6BixB8sx8XBOwbYJcJHbszHZT/Kl2C8vJHrYQtBEqOQbWH5OAb
0pP9g5zOhGdalsKUpBfxQwMJhaaqpfTKuuGCtLJ9bKydyh7VXJTNOLsPRbVEnhggXBSudZc6xqVe
9QciikEzOiEdFHZRukEieYB4yFQyruI6UliN91MSuey+U+UVhjm3kPIzbmV/Rq/MzxSWzGN1MplV
yIyWkGmtarBuJ5nfcsaFzQLUn1lGu+I1Q8Kt7hZCX6zy7vXKHDwh82CinQ4WAbE4cc5Um9OW4FiL
TZpcNfbDVNzURMvwpj1oY0fWrGd0CYmfjXWbMQaVH4tMpsVE1FgEEuCUqTVTm69A/L4gPc6+Ocpk
GxE3mPYrcbSw27hE4CJBFq6uWJ4z69tYkRXCc9Nc4YZEaVUH3FyEMwZidusgiwQZikeZwGPQOYcn
/hjLaJ5hQ6HM2SAS2uvN4iFLYPy3xPlQrLejzPepSONFXX2w6vFHAoAu3iSP2eeijoqDWiwPGVFB
pRo/BGq+L5SFuiEw8eBYyAcrVDAwJGb7plNq0A8g3Akp+yEPvw0NC86VttTLZl2IqTLw5l7MYNm7
TOVVCpanEIsCdhsYdTmDiGCv/xYvNP/p6rLrQ57F3axS7KUdXEvfD0N7Feb0LOoiWS7jpm1qWEWg
Rna9mXOAUVJ10HuKozoTXkiGslPBPYlLKCYQJjPstxRQKsRiZj8t55fI4gbJvymj5sDmuOhNMcbw
WFdeBBuTTTsC8FHpUVQ7932RWXSHX2zA83DYakNsXeSTjjW0bG9jFrxHrS+qc1WLRjAvbuqv7bCP
x5kYlYU1Nh9t3ykKdVcqSY9W01hH3GA7jqkD5YQP1MbtxaA9TGNPCjjuhN93mnrUay29qEusHBEJ
jCA2ixVuV8oZPktAO05NPICqONazrl0nWmXvk2zcucgtyxSdFXhZ8YprL+ijps8CObkCoYAlnOD1
4hTboe8mn1tYjheufGXbtdXG5KmKALWTnQyimL9nmi/5FcMP967/1fcinwHf56dfcxlAHKgiIR/i
OtKq9OMzotbnMctZZ1zlBeU+X0lsTcXhh+fmX+z1/uIlEGotnf0DT0JgCz+/xFJHc5cmlnEF1mnI
Tkt9V7r/ze+/ze+sSP/+jOIzMXQvfz6kBF/17ZCiuto1haob2m9ou++CvvYLR4AA7oEJ7JOY+W2L
7f5C+Iv/CaOY6YifeMmy85hxn64e/tF/zUu25V//+xvwc4AXqmOocD7oRsIW9/O7A2ZQBEA/5N2x
1vZyWK2q0F/Zg/bhFXB2nR45hTKQvSOr5ZQhvl1k2VxmGTWy7wAuOcTYSFdOFpAiN/zOLMReTBl3
65nyuoEWOwzOPJ3ptYNFNvuFTplS20Hb+Cy/owUvlW14shavlgV5owMV3ZGleYnL5E/6MYSDlQFo
luV6sazZiy0qBGXxnmonj6NqXSc08lmymo9MdDmuu6QhyDnK8r6MFr8VC0pFqx8CpuklsuhPk5V/
riz/S2gBdNP22pK1gAPTBt4T7URHIUWDsjyQKoQSh2de0ULSfOg0DHJ69ptCsYN+eUd0NwleYIaW
pYR5UV7OmvFYlxEuJVlcaNCKumEzAlSqVuneq1iUrA54MnWcz8GapIFGCyLVrtuhGs9V2hFVWhI7
2hI7vQtatrFMYHRDkyTkMay/91w/swmrDako1JSLkuvpCmqIAGoIWdOmu48rrCPvsnle7wsut3OV
3uVcdvu+vGbtfh5zCYa9LskrxfXIn3SQ92QxJ2256xXV2TpWfaaaxWvZxTjW7PCCOeyCPg1qfZlB
rTOWTe21OjOjP+MVjrSg06uovCavvtS7Qsb5I5GJJ0ihkuYwZm8k/RnoWAsn2vAG1XqL1yHaTA7/
czJM70zn3SaF6ewV47zvl/holEAi2PwA0ujjj4lQPSnU5QvJurt+na/VUX3WWyqjq/VLMrLCtMxO
D+zI+Jpo89kkouU5j5vMg9NGz5HOQkfmtEyB/clsrykb2NtQAi5o/7lbEn4s8K54GSPnKpwJPpCa
xE5k+kPcc5Jmlhv01iL2q/2hppVBdUb/MPb0JhS1ofk5PR5ZRLO2qeBxhunP4Q3IDbb0Rqnityhr
VnhLCySECYNlukDSUrovCRWlFR8bDnTqjOkxYabtVlxmJHFVOgLmyQjx2imnJVSe2l5AFNdVZqP0
3gzjiBYUzcZliMeLWiWo//vczqi57quzEvXWi+loGRrHxIuQfXRxf1UXxsvYMZTnXL6yJT3iujuv
pTuDdcx5SaGMxzVm3KSYs9o4od6xH6ddM1MW0Mfc4DQ3fykz5wsMs6DIzYPooi96pte3q2KxnpLk
Lkyc97YS385YRun4fGpiIznUsXtY5+Y8jJz6nFbRJwtWJhVkt4plHWLduVLc7joW1nttrMeiaHFz
895cLXDVtVoOPjb8mxEHdkaFRTQkuzaN3SCbgeDx6bGeu7E7xFo63IQOzCE6I7doVOeWLLv+b/z6
HL8ANP/D0Xb53r69f/3z0Sa/6tvRxq7axE71Q07/265a/QVElUX3FytiFGhQWd8NWn8Mtn4zaFm/
sKjW8XTpusHm6d9p04jjfzzaqGpkm8ubymUS5Dj9+WjTFW2igCXLrlRh9O2Z2ye1IAZaGMqjg2WF
677VkhQbmrS5VtkDD1pxWNtiPx8OIkRcLuXOhpKc3nmgaIYmrmS845xvz8UMOe0pjNLZs/oyIzFm
aBsKLq64H6e+maI115rJ83MqbqpsuZoVkkKurb2gW5ikfrLzWqwnGkjogA/bBwAuu9qsVvJ/xOfF
9NWq7ZtaB9NDx0a9j2bQFqRAOU9cUNbpx1i1GkGswvJ6VVhBTSfsfRgVJ8XQ0cbE0m8ybMpOFV5P
BYQRiwqrfUS7O00zzn60ZHo/A/1uaV8MGgu8qYIgz6YHKF/VjAEX43RP6VgeuK3tYL4NraBo4qcB
/6xfmjVAuwzP51oLlohxmXtU8iqs6Kw+3jMC4FxvaqZDT4MlAkdSyfcA+CU4J6WGWVXzc9GU0Q0m
8/nRGtvIq2zu82ATzSvYCNoGgqZ6hHZ/1syGdorLikqkjtiw1dg9jVNpt40r2l9Y8/HSWuo8hm7T
7+lxWJlHedIvo4qLc87I0adqyz6Trqlzp25xFxT0zgIXQ0hOzgxbsXDFZ52SbTUibeNiZ+qr2uiG
P+B9s5sUUAgr9CF0Ur9niopL/OhGtG4FJ6eRughYn4Ke3mbveYXDuMsuKiEin5ThLqeld2ObJjYt
5bJTNN5IReKbBMfmuDyrtfaLpmQX6YRvutFIIkfxFPSx82bUzYn4EQawmWtG3NvZyUyXhF0dO+D0
WJhxul6qJp33IpuCrJa+IgM3e7bEh6FgrTyHrBagLTlBsUZv6zwlXojGTlaaXUvFEsEz3TLeGK35
xpq6ZflIqmnW+s7X4zkYVAqLi+UeAuLsL31p+sy2KeXRte6FDHc9urDvCLPaKxEFLsLhgpHwX6b8
u7HqBvZCg04mpP/XdDOqyegsWDA7+WIWR9ucRJC1Jnp3nXVnQvTnVjJzvTFzLUjyjrOj0J6tWUUT
XqrbyWY56S6TuwlLpLgmA0ebcK5JPj0bVPu9CKOveUWKlU/Xpk8XbM1KeqIeceI9oAWqQAxAMaYD
TQUyV1aTu3V46wvViPxSwDT3Q7OPEk/5TPAmKZaRs7Lrq7v/zo/P8wMn0T+cH/57/n/Hqv3L9SZf
+O0IAXPI6CGomfq1iOAHu5PBplJDVYOO9ivq5fcjRFb0CsHkxMiMWKdJH+tv601D/QWcApM0m1Id
DiLH1b/w+P48OcNqBAvDHhX+IoKhYfzR49uHQ9rla6mdStRskSUXdpRt9HH59Yrxt0Zf7XPI+j6E
8ZPAd5DhIozJtK/S0PjzSUUvY8ZyJ5tOKAXZAZCsYwTmOpwVCR+zioQ2MTYbybqvrtxluGiy+t7W
WlrLSFRseMj3fLDU7HxsTehkQBM2+tLzzjZJgYZT+wSvod4UTsyQILeScZff1rzgRqvzUyWgmqp2
SZ9UozW+Q5vXRmehxsaLvDLoJpd97KZUu9V3TYtNXlZuoTVuET17fwAUAzpg5gprPBJ9v3SNAReq
qj/FRl4hapq3+ClulGI+Kop57CUWQEyo/LT6Hlp3PE5hEdFjonJ+ObknonH0NXkJHcb+2lTW7WQM
j67TvvNQfI6K5UsrXUXZYDPhLMnJbMNzyy6SLcCgveWG7a6L0Rr1tr2vrGifOAYJ9jg+56bxWk5x
th0L8pvWCFgmr+baVwDqeTm+DsKZ67NaFLJBJr0yHDh30oSsoJI2VvY82Op920XEHHGWEsy+sZth
R6MRpyo6UY9jh29UJ+JLDSsoRvNWWep8U/SNs7HdZ7fH0KPPPqRzCloGIyOOLHyHEZ+/X7rDyvPh
LFirhGVeKuPAFbtkfdwwqKr2ctQmuGULk/EEMn1LPPJEb1u6hVe8WwvjMoog2vWqsXNHfrfxxGNS
sczRrxv3mRqkPYv2G8Bsi0+k/yGxSNNEdHh5ep/fdtNwUM1s9FtdvAmC5140LQ95kpi7WV+vtJk4
TBengBzW9quaa1+1KWcAndU9UuGBvBzhWQKm7NmvC0iWs11ZF7a+EtTMy7c1rZ9iuwO8ZlV3zIGp
bzR2tp8GfcdyGeU0lHw42sR4ixHRMSbwlqArX4CRRO12dRSAe6Y1gy4Qc5ZwrGst/XXGBC0aFPpW
dTjZYAHOZ3lukg9Z4IFLt66hf52Ee0hMdTuuuKrofK7Hh8zU5WYPuiXktkSOd7Oa+FmqHXRsQSpL
8l56xpzmBTXjRs2Ud+irqOBMKBXvRna5I51QXU8eaPKrCY6IUphspafxwmkRBxQWuyYRZTZzYyIb
PqYvVmp3wRzVl1Eiwk1Xzygosr6vuwDW7Y99t5+m/ol2Ws5sEuxjKmg5rC4zi4+sXmYnZqrzXFEO
a84SHv58HACVwC4xJl+tic5ZGCM60H71hj7N3Vz17xk6x2bm6lJa9dPUBoT2DjF31axX9otlv8yp
eF7NhWtJTpnekj/nxu04deyYh7Mai3euMGeX7Ubb4t+KXQPnNS26EySYUcNUrsbM62s97nQ77bdC
xeUQjcZzaahctqrJD5UW8uZU7wa1vFqq6UtbgVZNFuOh74VzWSv0t97JiqbIMdpwT6ZAzf/XY/Tn
XKV8inJcSMQO3lgUN7kq+lFL7boOa/RiLadp2diesQvP5tvqEqyfp7yUj1xBD2wUvfCcWXzw053+
P3TWn8eN315eCq0mlhOT/erPL9+GYCsUa1hPo/1ShwdX9OAon4HueD8cpH+h5/7V67CE+IyyWAbi
4M+v4/acWVyc1pOaXFBh7uX5uxsdKG35H6/z8+n368/D75MzUCV0QJDv59dpMCyabFXEyTLPW+uK
gYT37+M//yzGX/3Nfvxh/vAiQyxEpwHfOo3b7oHLYzDuxVcHy71XXRa8x7ybNsAns9X290fHz73j
eJlsH7ogDK7Ts8nbUzB20fv8h3615f+Ch3/+/jT5y/z5ZNY02T9k66wDcV//4fvLqYJG1BLqCTPR
MbwWgbhUH6MzFghY+/zFO/ui7ubNsdlOe9PcFOfIfNe4LLYA0zaf38p/+C35Bv57jT3I/8+vWjLf
f9Yi5Bf+fpGENChbZcBfIzvgheMG9YMWQRO2ABmoAejiovldi3ApqyFc5qISyGukdLv/7pOTlnqp
HcCWlD78f+ebJ3r+0/sImd3h3+HJJAxCtAb/7h8+TFE4m4o6kvk2qodJhj5H0p8KV1/PTrv2RFE5
0VAOyyfTqHu2UwChehtmklPgU+uUsTxbI/xt2cozmhqPRwyytt+ijG5qFuDb1cASVshKYS5F7aY3
hopgljtuGhlmTUm1QpyhqnB2YgRF+94l+cqpAjp5Jc1sk4rlgRDtW3KyfTI/hhPi3pjWt20VkzaG
vrpXRfQG0fVu1sU5fqdjJWLClTKIK9pU3S4m4IealG4+JbtFxnZB/J/jrf4S9tpZb9UdVc/DraDV
YRuRfdoME4EhTGCvFvWH+15Gg1tqpWHwz+9WZb2Tv0t9bFDU15Aodmf9qdQqhuchB01F6lgb42vW
qNWBb/PNLakIMXHM6KO9gXhcVQ8zgmvAo2eXqfD7TGB9uFq2UYX7I8QHvJrFu5WrwSzBflVe70BL
fLXb6WaysmhPlyHxoNGkPAUohJ8mihUMynxlx5MO4kV7SMAIjpInyM4N+qvqUE4gaYMp2MF8nA66
1T9TZEyTq05KDLDT1SpZhY5YHpwc09Vp7ijjqvt5xbPDkehesGj8WIcYiDC+dWJTA83fFGN4VBrM
uyIhvdAkqXuomyW+1jPtHv8KEWGp7WighNco07+swvZqYMPucDdYeXRE9a/PVlG01NIq2R6NKZhY
06u4trlkOEzF2Pe9TCQP0taPFWtwPF3BSqxHtNfXVs1Ovuo5PpXqFKUhMFf0E+ggd1TYo/ikBOsH
BqPcOjOGkl8xJZW0szzWZvLVZnEeKsCVS7WBrdL2hWcrw4tRdJi3Df0LqKRnrtfALCN7t7gGEkWc
7jVBKMCuOn8e1q2i6TSerM52KTOKUmwMDtmFFdqguRWmlWW5LdbyQ6ABBMhjlmeZ8IPrLKJ4SEnf
VEt5MjXcVfF8k8f9xTIqd2RFnnuOS4YEl7yxct7M7VHo4f1cpufLRMtTE2oPUcHWIG7Du3C2zxEW
SL1rkbHVa+6tmeMeSw3ynT3dW0JdvTzKUxQIrtRUrL+CkruZ2vQY1e1WCyUWwR6vJtW40Rd+liJM
gMqoB2r5NrRTnUUACQZrOq8V8zVa+gc5rkSliWPTlHT5vd4WXi1IkGfd8mQOjrNLIwKRWcIeiMcc
+/BGwfEqbWXhPNLsmbRPbVec6e54menaAQDVw1BigRzpZZYAk0ON/LLhDYsZVMlvcEy+IvRhr8py
+p0sZ6fRQxzggXKCsMcoQX8qqpHLlskgVpLWRUq5d72ZOyLrGk4B+cTlKaXScGSMp2pgAtGaXmyH
cbmOBGF9lbWL4FfAM+laX6zLdHDf2IXLlYd1j2R7qRsN5UMDDr8R7civ5COupTpojMSt5pbb3I4J
dtQdCB3sua5q5vuCNISa96Rbit7aWLzfhjW6ReJ9tQs2X5HmXNLmF+6iSFG2zO83iJEt1lTI4otm
v2p0vgcqFWGeYdXBotPOXiTkT3mSbjNcZG2/hrdps4LmadW7MhlLwKx28lbHytGiXzqghQ6SafKI
TYJ6lHhfmM7HyhU46An8YM8U2GVRQDdJZ5LIZG4uHgt8yNHlqkWgoKyxCijRPTed9s6VGfRWptHX
tXqGX+YStBl1OgvXp3AkjW6P3avVK2CNh/ZkJPkxJuauE3efib2rMv8O3e0sXzU6now8GHrzmrj7
5eAq1LvK9HxKjN4hTi8UalJbmbA3p1Bwkx/udML3SUg3LmH8VKbyM8C7fDfrkysD+83yUJjTdT2l
J94P/BKI9hdE/OFHCngXGH1HUe7IfA0MMP1tCRhAtZD1AAUYYr4vNdcLAQhYgARq1yipgOVTLRkD
dm4xlknuAEwcDSMlLIJSwCvgGQuVrN6X4ApayS2wi47HjgUTVjINTEk3AHEA56BOD6skHygZre6f
LARJRcAMrh2wcCY+YLAhqCQ9IRMt62lJVIjg4eNBT3+9JP93KzO5Qf39rewOc17SL3++k8kv+/1O
psk+aJ6CKGdkBaka/X/2zms5citruk90FPDmtoDyZLHozQ2CFt4ceODpv4Xuv6VuaTQT+q8VoRjF
SCKL7EIBZ+/MXPnTmUz/jWYThCN1mdV+P5At67tFLSLWgOhIK8Ifmz3d/Y1/ztrvD0vEP9js2d92
d38c7DmQGWz26EjRXP7Gj8Ir/TwsClbslpRNfi7UyjAuYXbQtwR3RaFLR58GLt9x7HsH7nH1Lvv8
ZV76fVBqbvEbcci336aenUVFFVDNTVIu3UCtY2Z+Z9gnpYXZLBIahMpqpEtoaRWCIx9ttMoimlyF
bMPoHup72KRJUF41U/shln4i0x0+jKWxiDpTr3PxGZdOfByXViPdTS4F8gBJItMvl+YjJv/eb5c2
JHuqP0gKAGHp6rcea9Wcp9NWoUJJUKUUDa1K23W4s+32VMwpz5OldMmUw/NA517WTpmX0Mukm+1T
SDBoi4XP2ZJztK5CUCncrdx21S3VTiodT/ZS9tSYeN5wMlxj6b8qDfic0azdMkWy4uji61FTDrli
fhptvtXr4bUxQPFp7B5qIbyRpHfNHYMY7C5X6qdOj/flSF66SMOnsrGe3ORNH0qfk/R747rvtdZc
1XP8aJbje2o4uU9jzuxjrTwLflh4hcMuj2LIYy1sxZmV3mZK41uebaeuEqdZl4GHx05jg4Sh35RO
DkmoobJahSE6KMZZmKBoMYOEK44HNnEv9ZhEVrhNRGdtZJhhseuUtdOM91YjGPxkjZTXHpySdKFC
M101Ga43pdLZ11Whbad22Dp9AlFsqR2opsxhwxfVfqLgX7H6YFybHdwbKAuRZ0/arsaeEjj2Jou7
s6V04CQKZkvhym1NGnWEb4UlPd1rJkvgsR3g6A0zJ3KlJq9m1l6tYX/jgxZ4Ax4SxVZOEW/FAj16
S0R9Q3f3mUKbfZjYpF20ZGsk5X1OTsxVR/KTs3XfJhLhJXxo2CGBcRf0lCBXmR084F66EWya+QmE
YsWDtToEdvUouq7xs2a4Fy51aXxptp4zIdd6n95OQpvWHAp48qvlV07rnheX1SWU/qvUYMHYToTu
nBLT/dgP69EBemAPwM5FUjugaWLNC1J3N7SQdFKyrq9tQDG00lQByVcEIj1NHruUJ0h8r7eA4hxq
fdZ81ghS9jSutSiEKDiQAoe62o0qkVO9VI5TNVwa0BX9PCEiMgtxzQE7Wk+FnH1bo9GvAJU3iRFE
sI5naQxnWnTK13SUynKt3Rr6QUy0cckcrai+KVnsQVFN/Ciy1w7THCPmF+sagMS28VXPyrPbuBfK
kJ0qjqjLSLoiyx+BbmdemnKAmnjKMoNzfzztnXLm7OwuKFaAllx7ycppDK92pi+tqV/wrB+Hsr3O
KnEJEBFIUtH6M49njnijpyo9JpViQKLuoC10bkQJfNt+wY9nqBiJUmej/RrL+oWJFBMpqNGVVo6S
gLBjHVqyMivOKA6QV+OJuy4a6wTiqc+s9xbHGGYULQbL6Ryp6SYD1XTdJpr7A/TF3mMbe2NF4ytl
JPTgGKmxaWWTrasQ52ZjyJ1FTa/kDOu10Xjbwmb2xqRYZ2M0+DJFzywKs+ZDV/KRcKzLDF13XY4B
lWQcvY0uGD2bLASS41VZubduYOz0cXKoAORM1E0ZON3qFIaq3ID4y57qAedOwDJWQIXzSH3zwTaT
RzZ1oBj7AZ61OxgeoZy3sSgpwzFieIfFgRv6zWSU/U4qOQBkrbvm8MWBhP1wb3LYBpW5ZC10SFzs
sAMHvFUAMTaV2UUT9dcxaXEE6Bwog07Mt6zVdRFmfG3f35pW4uzmonuDDLVk0mpiPAWgKyuRwgtn
8YXgxfMiquOt44rrYirfLJ3PtsxQ3I0cvCewDRiXwVycFMJCq7qUTyq5Wa9FmCCXQAwcEysLOQe3
csk9mw5qZZPECrbatnzr3PixJLLrkdrcTG3IGp23HPQWJrkBCYedLTAOQoL8mcI73aMm7NzQyMFw
kuzG8Y2qb/T30ZReDzwTkVeZb2MTDplpm2gqghBZ5yyWiYR/5mR9fFGJefAR+S8nwaKQ4lCSs8ow
rERq3ZvttK2pHTDLhShVfY7LuAzV5smiOZPhUHDpdcUFdkeJTDxfYonk7EsshyXvHvtbTbOBtrTc
K+UTTvFs38zyXtf44GeF/igm46qN249BZhs3SO552CtH4NQUaKIyNXF4Zcfyjmz2Thc4pGz8yKus
gwk8GbggTH1lF8x4ZU97Ef1cCFC2/R5jL/fzuqTssazmzVQ6N2qQy7VJVyeombEgNYw0R3dBsFfq
6dUSXAxt1GsbHNJ35OAReQJxiMPwtWZyxWKJyJFU21KWfL1dneETqCuUunAtVPO9SkYDJ3L8bCjk
txJpnZXOeigNaxtU2bibQ/0rUehi1XtiV5pWR/T9FtHGIs3NREF7g1JOXH6J2q7UeGK2ndVni/Qk
Kka8BjGTr8iK0Xg04VNMQAdSNJi8KrQwpBRJem0cJJ7sq2PcZ/xRt/WWXoUO0ruZeJ2S7pIQlTF2
cI4rLQUwUgsKD+JZtia2+gH+YVxJB9GmV3UFsCgSXqlMNKPOy13VeqSjidN3GLAdleIuqod7qmLZ
lsSuVw4Z8SuV1WrntAhTpfQ1I7ptLbh2Qdbuu7BrvFxx742iO4cZXgC9aReXPk4xafF50mmNG0OK
MLS02AtOTnwgEwXIdPOGa/88ajzP+dPiEQJshRpXABHx5wAJRlTWl6XQAqc7PATyBfLgpl92k0e+
lmnv/VQfXZ7kq8k235ve3kqnq/0iVA9BoRe+O5PkHK30MczzxmOJoHlOZ3kQ5yiSe8MWccHBwCBh
R8BJ7ZJDZdYqTKIkOWlxSe9Pzb9z0ucQgXYFRPROpapxVXXixib4sdLycm+4w+PImYty3blatVVZ
rGVL9Gsy6R3LU8mvAyGBZtnaWFM+dnQkncTOtDS9USvC5+7L0mxKS3BRrNkMbZS+e6pYZ7HXUK+z
kB0i18KlbsXwVc2EuFZa3Vox7xHaNMmQaOQ+XeNnNepiU1sGbcvtO31c4C/i9lGOEfegTrmfs/gw
TtmdZojcHxpuqbby1vcESBxaglZuayOXZd1F1dSbQhmdlTI1iCIVYfjWSj5dzsZkDdgGjMXnnNeH
2UUOC+t5r2nFE9xanyj9fdVjf2045dkpt75IcmVGYDu2Jd1+vuzsrTLWX1bEkc4ux2c958zHvAcK
P3lCJ94HZDmjtHgNnPQtaTts/KAd4lb1QwrEgr7gSanL3SRtrDlsA82l2UWWt5Sf7irD3bum8KWS
nNtZ96ZYBbqgRzSdZeu47i+ANu27mD4XE4LioUlUEAShraXXWTFbT1MZW85JCrqirjOzJco3sfjp
zEoc/lUGvltMmBj/fgbdkD0s/pMswFf9GEFVCoMslu94QnDMK0tX5u+yADgdrIFs/i2F/2IBxf1h
UeT/Y7BXv1lIvikGP2QB87eFsgMNFuTbIo79o/i8/Vf3vasRUYNGa6sm6tKCv/t5Ck1zwsVjG9gn
3MeHsJV9cdkOlEd6Sd5XFda3uJu3ztBwG4zycHwo3YgmoNItlo7bJHoe9eY2j+TkR00Bt6nttpIy
ALRg1HHu736pZvRjLBMVdi+WRSYFEqKRfjGbJwACdGxn4rnEpkhc/nHoKD68bsmr3xJl3rnDyKMq
IDXJNilUYnGiLt6B79XLNWUi4TOw/egcBFFsnaOMrm6zcBD8DRzqOs9zziE+xHKluLNsoW8CdmXD
miBT0F5J0UTxQ8cyuAd+OjymmhsBB0jLXRwlycQauL4cEuMwdOaNGULXDuziQZmzO45udB9E1bu2
0HysqHvLqSvm0JswpepvUZEQ6hIGxcsagJ7xoQPL5umIEoL6ApHzjA4XiI1RVapPfRkx6wIINJ3v
SzO2g1chBSti3qbOQEVwhblfxB+aa9/lnfGpGKTnmpw/FNNpr22dcZ2KA0nBwsBjJ6zSF56uzNZD
vFNmfAJysXvkmXMnM1XblAUE80JvBccAbRfRpVTA+/fzId7rEU9WM49sQsk2VkglLdYaldcsr6aD
XmlL917uzXpErs/QdhhKVU9zUiJMTFN7/I4YVTrlQ6FO3OkoXhSBGQCIaeiMcF/DqDxarn1sdHIH
sUPyWZ/dWwqFqeaLms0YiA/TnTeZMu4pbDqFNbMb7AO/qsHD5wVH6SaovtoSd4AV45PsRP4+RO7o
91PxxCXdYhDv7Z21yE9cXteGKpf6kPLUmiS0jDk4Zy5WnhCcKQ3pHNzZAHRsdVfctSn2NvvG43qj
0rF86hKNeoywPbS8gy3xMiqWKdM2cW5aiizXUNr2OVHFUZqPatOe8PPeUdmXekDRHvIwuqFYNPYr
pduqoSX2LA71VR/VN5Md3BHevp5lx0dEjSt/Ujlru3E8+WodnLtg3k0Avff6KN5rKTguGLhcJ5NF
6awymw0d5fSh2WwdW4FnaEzzoazsq4QO103pUDRSdYXu5T20OmkMFzCWPjKejHFH20ndxJdWUtWr
WLGPU0loW3GzjDYuSZ2UkfuGmrzWSjVsJre9cmvjqReR4vFR71fJlFte1Olf+bT0g1YlnYQVBaU2
oQ+Jc9ge55VR0PHepv29NszFThhcncEiKzRZ/JlN2syC1n4yB/NWw0ez78sU51Ot7ZEqdV93nIuo
B/5gQUZlkDeMzSCTqzi0qCtLb/KM9peIa3uIbODSSbqOcxd3aiE3VoamNVQD7qiawgxZWHeDulSk
1MpXoBkvip69k7Hdy0Fn1xy2SzGm9kkBwMO3utQ8zx/yodXWmtvdThN9HLGVP5eTcTTpDoJ/Ryii
MQ62MVrXeuJUNukbTpRTJFkMkVHUTAquFnZzZ8pLS4ztek5R+Pr5rda1Z+m4+s5VyFZUrn2eu77w
Hby1vlEDb4C6xlgQTe/gX5u9Yre31KmS7q6UjPoBOnk7O0241+ovlWXcwrR0vCFyYD91weDXHTam
pKoKaMDKqYf/tMZZ9NnPE+FbE3Uj0Xq/DwggpmlBn4cwqDDqJNEWBdUQRsM79q7cUxvazZRgME/x
iBu2b+SI7U6LfF2TN0PBEn1yoH6pc79O42LkfaLJNdQnP8YLjNk2qi7xGO+nPHjJi5FIFVzINUML
Rak6V2tVJ++WXaAEBsm8NotgExr6tLOKWu7LytikIMJ8CpGyjeMsS4gmnrcseF5qx9wUtSBfH2xL
ZKPrSMQW9m8Qi1Mz0LbR5pSjCkzxCG3BtVVo1caW6l6G+kVix3DN8sTZotUC5YYXQ7fyNB2irvtI
OT9toqrVDxowfOKwAKTSMSx2UQFWch5y3pthEhtzKR0SDEdUJQMvMtt+r+cEm1TVIUdj9scwcw+B
Ox9FPGNDVtHYghTqWB74AF1uHWFbF3OD2ggMcnEQTueqi+4KDfMbzUrZptLRArpI1F6it++WzEGA
WIazHR3Gm0kNWw8G88hmLjq3MZ7PYFb8tIz7bVXNR/JwF1C8fTI9574mZaIny3oInZwmofrkmsm7
A+IuawI2FLaLVEpfFQh0E2SyM60DK8T6NLMoVZThQe3S1zIVZ/YetynIbo/UprVOapU2dqP6zIgb
hZQtb1rdICwXG3xL6CD+kCnPVYwC2HfxKXA78GusgHw2kjR4BOmxcAjfJWMSPsgog7wdPFsIeoxE
6drO8i9wKs+mLmj5a0/VN0dem78HpuauVRd7nJtnD7Rv4TeN8dtprMlmpVJ8kcWXagXutSzTY1Zz
EjF4ppqi5wamqp+j00BPCC6cYMq3BJIPpMRcdjzsY83iMZ/q07is16yJlVRNXJc39CAb9UhK+UNU
ztcwImFaqPiFFFSOJJ8YUDdNV7bbhrbdhkmPfIJ4oIT8Yg6POSXZdWdDI0sXbOVb1HDz7YUCd8Lm
JI4B3qS6ymssZolmQD1MeXvojkW7bI7jzPUcBxrSrGZ86hRqrbDi3sZJyH/MDbzPIT3UxOANOvQ8
OIvxlpPbCyewPeuAjeSkg2/SOsxmmXtdFV9ZklIpBjVV55vTj7oaguSY4pzY6nn7bsAtDGnE8SrI
YAptXsshhlw+ofYi3JoR9TmTo59wN97XA4DOqqHjb9nwV7F7MaEe+6xDbjpBdM5OTBVnar6FqoE2
qiVrSx2A8uoVMDGaGDeggJioZ0ymeo0s3ssFY1uQl1zaqJwsXotCX04P9d7Wo8MwJV+RatJ6PjhX
k5psy3nbuHDznW09Fb5Kw7dI76KM7aIwjNzDir0FGQorn2ajUp/fdGfYWEP45ljxhaGRHReBEvFm
yVdw7tBOtCExeRD39ZGPz124ZGfQEB/UCkysRQ6/qdfOTg+znQZ/qG9TP3D06rr4lsahCcQC54Z6
Ix6jviwVduBFUx/wnQ453ouhd/pNmfViup54dwraQIRvBDgYw9keYp8uoEMJ0Z5uO8GnTdTb2YWF
WpdiI+yE1GpKW1NslL6Rp50f9OUThI95XTi9RIMO1XWmJfd6XdwOtDBt2P59yaR+pA3KZO2m8psi
r5B62ke28VoV43mM6X2ObGbUKKaInXNX46WpgcAwsOGBAkD57VJ7RywCsCuPNN6/5b3jbN65pCXd
6ELWtGRmoJLH1j71LdVanX0BdctdUV7+qlK23LjGhTpPnG7K6o1nC9SpbKnec+6bODZY5SqflI0X
2zlR4EOCbGUffoagGXHII5bIKLHiXDP4VlB81EO+02EPe8CX5o1srAv0mxst7ddFyx7EzMthx333
wh2w6k4mDzuYRruu5xOdaLygWWPTM+gxb1Ssww2oKdhP20rjtOuq6UsqY3r+rtIq5Q4wrYZR35s1
pCPX6U+iKSQ2mfYqN5MP+FnY9hiZhyk+laFyMunUzIr+ZGhXFnYRMUu/rkV46JXyMR3CfRvFz6z4
7yu3xKo6o8nU29Gyb3HmEvTIT5PUXuJK3bmN4M6Yh/t5suc9KtwLP+A9EpHl25wF11FbxUfuCi9G
XvaP+QyqoJTJcYxS6KQoN96Uz5dDP4FstFS2JgreWfagQ/GaVg4YUlYY+eQ+Z2Z5EevRYz7gw/l3
oP8+0DPf/v1Av80+i/+AfFngLT/meU39DWWPbDxxdVi3v0jK2m90axr8RWhDwwf4xzyPN1AhFvS7
z+8XVRlKDN+L/8Hlihj9T/IiqrWoxn9SlTnbWHxPxwH4wrf7ZZ5nkWxrY+e4V1oOQpnb9lxt628J
aV1Q6rQ2I2KCL/hm6mv9W546X6LVMxlrK3Ev6oLUVJWnbylml4nDQq+1yJmGgbuh0rNxSZPP+2LU
5brr3WvG1C/IS9QE1pRwdNpWIH+ETcysIrcKuCSn4PlSiZ2IszezhtNlJ+VFmAzX6UJastraZ97b
2QqtsYy7AMUGD1oX5AswTajnJ40TUAzChBEAklOnTDsaJ2EjCfUtAfY0yt7c1479BKyK4OTwzv3w
ElU4MxfgmPW88E3ahR6F8eyznhw/XbhSiQthilSvvEKK22BLLzytV3cSHBUoDGqkFkJVqosaIAD7
O0WnbQzwt0LB/PzIxuDSWThXw0K8qhf2lcZKIDIgy+lIv/XCx1LrEBQ9yCwHdBY+yR4Ut805EqxW
Dl6LPSyn/vJqXLhbIg/MTb6wuGAP7oeFzuXGoJ5UHP6+Mhg97CwoXtXC82L2zT2IP1j4p+vcTPcN
OF+ANsnHlOMUUBYuWF0GGPxwxesh9YVaR0OJqn61mjioQMWGdrpIFspYsPDG+m/ksYVBhniU+NPC
JRsBlM2AynJRDE+8n8fWfJlz69KgFxosKYCr5EDvyO2wEM9qQAuNjxFeRhdCKzoeY3GKblRl5FOB
h7apK09jaNr7rGEZTXtytI0dh1gE8AX3koRmdLDTst9SB8Mmk2tAWaNAVFtKkt3bANaXC7JoUYpl
yTqgNydji4XMyGh6H8OtCqsH80FRaxd2lnWEai1nR5OP8vTv7fDb7VCDGPX3t8PL8qN8/6vDZvmi
H7dDXM/ucusiaU3ggTaDn9ab6m9Lb4TOghOwzbeM3P9bb2KygQdjuORP2XrqNvabP9JzqqNzb9Vp
wnIoMf5HACxjSa39ejM0WLCyLVU1vtf31NtP/CtZSqN1oiQ6S+pUnJ1MB07ipn2lUnFEYjQUgZgJ
sZYDiIeumhXXb2IbNP/UYl/YOEqutreDpYbu18CUUXOGDV6rNE+UNQ/jTBz5pZvgoAKVU9eIqiI8
Q+mnAZEtTITGo3bciinZNZEpvKxxA3JlzMULQG9CePQIBrugGeuJngYGiFhGO5sUBYU9icmabLRr
cyfDmnROkSMmWnLI6itsdp0ErDuhxoXokTQGOZavzG0nPk2IQdt/L/1vl75KEOTvL31YK+AwP9q/
Xv3L1/24+jX9t2V5v8Bwvtdn/3T1GwB0MJex1tYXtg17/z+u/qX9DbaOTnQGWsZPlz88A4WuEZKY
PySBf2Ax+7Pj38BVRnv3QpQjxop/4tejAPaKASuzOZw75QBHK5luyub71fG3wdHvCdQ/PmJLRkeB
YQcsAX65RVKHG8DP+oGKrTNJ0qY66wM5zWZlmA3JrEjXCv0cKbXk0VdaY3o9f9OiIiwrTzwcUahI
cdPSjfFBO2hW5TUoWTIaaXhE1aWpYl6krm7RvKbsHKCBZaXYT2hiAm2sVQipTahl86Kaxc0umPDG
ROhpeAZV30RhE9VwJVDcsil9FShwXVXtoUo+4bxhko2jq7Bt1o6W7e1FuFNR8Bjrt9Ui6WU8rLfx
IvMJMmKrFuUPbRqCHFog3V5Sbzx+vafQUvbKohfqagUroPjkEx7hgzbwxOefwaIxOnlFV92iO0oE
SEAvF3Q1Dr5TLF5Yqigx7ChvI7IlDLGcvW5x16shVSnafb0onBpSZ7pontE0vDeIoNOihsqkuiwW
fdSVIPDMRTMNyvoWvyQWcIM2txBhNV8U1rbRr9GsQ4533ZNI9M28qLEcXWGvau1Xsii1DrwyYAMl
CWPjaC9qLn0wMaXoKLyWAmaXtVmId6aj57jSsFX1DvW71fyoIhLrvJ2rEtnYHLC+5Vp2N+QuCHOk
ZbFozNpQ7V3aUU9ZO6geCYBDI2Iq+VSJuQeROmzfdbrfXaTrOB80zxgly4mseAwWfTuQDrtWJO96
0b5bRPAZMbyKF0Ic8nhnG+9Og17uJPGXsyjooYGWLlv3jnjHlxEPnoLYHkv24yrye7To8OroeCXC
fI9Ary5KfW2giBAp3kOuYxmOnB87SzZEJyloLFq/IRSXmtHujKf5vl/8AAJjQKRHuBGxCkAqkH5p
hx1NNjjXDeibPYe/eTmYuE5yq+FVwg3ONsDtH1OFYTWerK+EfnVTTb/hPfSNDixihakzvSxy/A+0
BEHwM5X7cJK3hWFWtNrpV2Fm235URhS4jONLn2RcPYOEpT/w54En8jm1gjur5+jaJ8WnoQ7Wpq+V
+zTMGNGhvI/CiXG1t6xuxVcrnGeowNiZU0yAOnZEH3CDO0PEtUpt3epTuq++JSRphJUBeD3UGqLW
8s4MB+B3VspV7mbpfaro7t6cx+SMfehOSo3jV/XJ02ofp1VGUUL1AQEFRYb9LO5wFsnpADwLu9Wj
YbR+ZgUZy7IHqJLjdqLY/SKHshcLcVN3ibscsjMJ9xUfjN/T0CBs0JS1W5Vek5nmim2mF+oV6VP9
0gD8xRgiGEHoVOazufQBnJrSfooc8zNWMJ1xW5MIQuomzyqo2tORSe5VjBjc2piyhe457GiA4p5z
UxfqmoqCm5Lm50EVNwByfUuED1pqPTcO7ldVOboDT3vbOU8UHs8Njle0HarbPthTYBKwEz9toPfB
fcWvBRq3qcFDsOCuq/5kQzKqZYqllmQPAuGAQMqGKnEEMoW4mtr6Iadkd01B0WdDIZ8mx0fRfJod
V2Jv2RvdADgNlWKgodoNBua3pJuEWCswRB7ssB+3UuIISUKaIkynaqtTqutPeWnQQjDTatcXoYLn
jvvWKi2NaqKoeda37VTWnkPRNBkm8JSy2dTt8DQM2UMjxTMZHv1a6cz5zANPbupMvkpN3Ue1/jEG
ztVS7exmLmCLnAWuybrbj2GG4qukMiufc/cOU9l0GebRLZakN4Q24Q1plx1rdiTMWS3B2AKJxWij
50LjXRyiuzguE9/VxaHrm6dOLWc27NRnB0vYueLnW/Uxzx7PTbkHdCKz/IYz3JVoHXFnJagV0+QO
67AGIcqnvAHT0nS+0dr5jk+z48uMCi6r73e9imGWpWwJa66ctkOhRAw60N3CFrGK7bO5GzJX3THG
nakyuWkM2rktdZv0y2wmAqookU9nS71jynyq1fE2NGtrD4jgibJuikTCOTj9dBb5DwFcDg8/nWu/
PXTJf2MuthjzbZp3fn3oWllXcdiV3bl0qEtQrxLnzuKnpkydKpvH//5av54iltdiyQEdUoWDYeM7
WBYOP52haYQaW21ohrMTrIP0QU6UX/2PjOv/eonl3//0EsD7smzosuFc8cGkExVPzotR3f5//B4u
OxabsxXzwJ9epInSFAfoMJz1+k6WF6OgqXH/31/ir28Lf1Q/vcSSm/7p96DlC6eZMQ5nw7nN5WbO
QQoOV4X9mkz/45UwlPzpAvj1lZaf5KdXyqLezC26UM6Swne1QKXVDl3OznDd54cZnNF//8X+GvhW
l6CCSSMUmQjMLL++HMinca5bdWD4f1JbnJHWXRgdp/zfMfs7xHMBg/39rHF6rV7/OmcsX/P7nAFv
xgLHaeDfWdaOLPV+NxFpv1kGOCWuaQXazHLI/2Eicn5jKmcE+AHq5Kt+mIgc6jlYOdo6qADFXOie
/2DOoBbsl8uRKIsNWZSsMqsn7EQI679eHzW2XsPstfmqWoJyqtayhnIBgVTmdK8mkjJCyFII9H5Q
dW9KR1mqxclSGY1jYwbZItbdu730mQguzZmjvdmSt8d/CY8FkSvONlPgnKn7wlTHTL2Wg7JNR/dy
0M2LMi+3Tuju8G5cscnD12jNxDxCzuXAom4ts+xQMdVPYRVHRiRImL0RXtpL1kVUHLscaa4nDYOA
FMo2JwmimANYFM15sCv93GjZlYnNY9XVBStSvc8eUmvaBmNKd6PpXmdJeBvSV1cw7QHiTAjiZhRg
TK1B11OYUCbdVa9Fy+vgKtjOgpoMloQe5K9dLlLCwKNa+5QQRevWxTpNr1N16JQwXWsVpX6dZrt+
SjVZnJkbV2ZvYAj9FqDIquqJ9Er2eB6lldtxhtppK9EGMsiuLgqwH61L7jryayNT99pUHnUFP4iK
GBwUk+s5tVIRdLAvhrQsPXewbqUa07zl1HTxFpRfhRhBrpyMHsqhoyJ5xhRqNjT7AbqjepO6haKg
7qANXprQuUuIwexjCiyNKcCkBBssN0aPXXjuN2Yy4PjHCoGORzdY0MDRypW7yXFxrI/mnhKt0TfC
6gYu2240HNuLcK8gVDfSK+Mm2FtDT1ZFSQk3JC7pg6Zbz1E8ES3PsMWH6XutFmBP5IIpFbN240oV
xqmZQmlGPhXAuH0BpA6/veKmKxwpOYiToKD0S5g79ieDNzAm7itOdaNN/LU3qD/BuprQ+0EEfgd1
pwxuHXJKB9WKPtDKq7VDRuQwV1FMDLTe1zK8axQ2SHiTd4YgO08sdN1EnbnuGWAoNygRxuvLpsm/
ypEhzZgHAH79U9VM9sqa8aFpku4HyExeH1RPfeMoa4CcF10xXuSo8IQxkuu5dXrweOG2HczLYskk
B+KBqUrB7jbvEg1AmhUaV3RBkPVWN2YMd68xmDAgzG0TW7vILOJZituiRQVXvZLeu9BuOPkF+1CT
5pYCp5xaUErP6qRsNnFUvLpKeom5mp6DEEKr614Wmbtrzb70QEF9xEF8X4pJeqEIYXZqyoceVw89
HB4RZiy1HE19BQeFu1w89xzrVkPrXOps7D11stJrJogXHKnHRrU/7Lk5TpS6zqpxDGOqWZrSvBpR
ci+LOt9mCk404rpHfSRtVLPAx6pyQz6XiE48vWj2XSrWxuQcqzjeuD3QFwyBAKMqcRf3qM9tmlHz
aQtPK+vnSrQ3idUFHnGcc2TSjGXpra8PgZ+TABHC2iHbYw4OEomZqHG9Op1WWeReUmi0t/uUHhyG
Q2TsmjPRsSfUtk3z+cW1GBxbsg3sn6UJ7S0TSUhxlbzohnnvVvGbZlbKKlBx/eWDC8gxuW0z882t
IwkLqCE7Ku0HKl0KT80DPsQYoBlgWriH3AtX7pLAbwptyr8fJP8Nj6r/NTy6z6vPOn7N/vrUXb7u
x1NXZYVHNhQo2nc5j5Pvj6euatHkTHCK4/e3Uku+6sdTl5Wgrtv0RlN9xd7P4oH846nLoxqch8Pm
m70cxp5/ZN3FCvynp65NZtRcFtvMAcui708nczvCID8KOV2OOnbSjUpLr31Z2QDWvpR55pGELVVp
mad1rH/zrrTSlIdKMCbMDJaR3gQagrxDZnxXq709rXRLew8V3AOlG7xCc7uFspmfIYqyz54tbUOW
Fqa+oTSXpWV9RRVcyjSnmlktKE3CZ6Vz16KgkMeuDRxTNS9mRPG9KLKWBRuGtInEAvbchI7lE+xO
vJH4TDBJpkdy2IVPSey0qU32Ry3PiFUGKc0DzIbtE4vyyeinQ2rGF07ZBsc8ztJNKrihAz8mnwh8
lTxACrtjdG1sbC2Dr2SrQhuuXflyZAYlPwG4yxDPGfNSZY3FgcreO27pCusFzBiYPiovdCdxqhPr
ne0+tIvSVrelmXzNSfKCs4OjjdGr+X4IoFJXRjLdY2gKcCBGlyEQ6n0XJZ9tOGvPLJowe2I/3vwf
e2fSHLfRZdG/0tF7ODBnYtGLrkLNI0lRIrVBSBSFeZ7x6/uAbn0WKVkK773xEHIZNQCZ+d6799zO
TkpX1AnwAkZVYJ6dzDkAQ9BWdq8qe7MY1KOFpW4TAm3DeNDax0qIG0lU4h29x10fjO+UApxlbmbm
RpX5jbBRpgGaAyutmjYNIfqmU8wyZ6o9A9ExVo5a0MK6GKvAeuwKH1WtasSHxhu1ZkMk00hjaqoq
u7oE/HYdaWHhadTokuEtJBq4BI6h4nPBFQa6WTol0mLGdNauaEb9naK3Sbgj1GvaV13mXEKgCSXn
A4n6xeFL8C4OQhiEKLHztdOc+KijCdb8dLozOypj9+WY/O/qpf9y9To9Z8zlwp85D+YXflu+ML+z
x6Kh1c25QHD4o2/Ll27+AaqMJYoZ+uyMp3z8NpyYJxAzqsj5c2b3GkgkrL9mFv+gYLDsH+pX1Zrj
+gigwXxAV+HN1EAkjS9T3VcuGuhUbGfA88zp2euJF4stDAOtoa4tLVpXo58mqPqK6tZB8X+ji5l0
j88mE7e+76QSxc/IXLzWKvJ3QzE+WYrEcwk2hNuWYXHEVH9R63LCPsq+Dh7F3KCfqCAR9wgvIQ2t
ukJx1pWmP2RFrD75ZUKetT4U6zwQidsToEjQJnkkTc5/awg616TyVR/J+wNN7ifSnSjG930m9lFE
W78nqhSNhQ5nUdm0Ov6AAbN1xyJBWtkcHTtHlyjjafRzZLnCWkG6684yAwyYVpG/YixqbKpxDBYj
ETkIDAYmCBIk30hDUPr6tNC9qlhNRu/qzVBfI4SDM3gieeykNd5p2ofQxGAAVfgcln7gUrLdRFMD
p0PXTqNKhQK48ALl4qkO0dBJPNFmQ6UlO6tfCTlMGyYU4T7jkV9YRjhA9q3VVW2VeDbhOvULOag5
35kEZBsWyoVhAWQM31kghDcw8oFNphW7iLt8uJlkJPBDk381dCpG2iDYOjHJB56CThPv9xSuFcXN
OIQZkHVQdwGmr7x5fdLF3BGmHnBrKWYuIJ5ydBFZ4d1hIyk23YtSgBs722VV123SOg/3nq3IU2j2
iCcax+OYz4uzk1a23o3WBo9JQMs4yOxPfgVhoWdRpoHvPMZa4wObKb7imEupIfxj4gUMSKLxkqhx
zuwl/RpMllsafnMZU3NcpqDqABjLGB1l7M8hqLuqK8WeI54GR3G8Yx7Mz5SmGzPgL04ll9pgQTYy
X6gOhM/1vIHmhfdQdb1unjoLS9YIjlPLjcSAwTrP0Cp1ZDdeDJax1OvYd4soaY5V6ah4XivjQjKs
va5KqzzYJohqJc8J8Z2d2HJqN0YAXpGsm0Yltwdneb3vB7SLSedTGpiexEiTrpXU+UIeAMKf9CZv
23tPMU51IXQMnkpxxnky7nSbsyx44u3MKFikkJLfqWCYVlI+N8pwCBNxCE1xHIMc9nJEDvYwrmxE
fXzmixyzo5XCreiUA7zAYxogjA1byztlsqhdsgCNdRv4d5DNfUZ/xMZH3TYu+ZFkIPbFDGlVyBFc
6LH85MPqop4PL0OXM0rJoB0pTZeySyECtpMdSELEeNWntJKodWNtmcuvtghZWtJ1NYk17eKl2hGt
4+uERJG3E0BwEZ1JFx98rYYeKGgsSpQhuZeJetHN9p5RCrN5ojvti0fGFom109ei1G6h4u4E/WMj
TVd2g6QJChm2gXgZdd2nwDY2dtWtat+nn2/Jax1ntzLXvzgxz3CazBEa462J1d8F0XMaSyBTsbks
+I3TCJuziX/WBwLboXwmcjF9msbxXT/fj1oc7ao2uE75cEkZwYnInyEBW/I36RpweSyAN6jxESGO
SxTnu8xrXUUC3CWvmNnEVti4OgqGevWwVizszRxKnmw5m6uKrYLOJoYmMBb5JStUucrUfKM1Opmm
rX/VyTwJO3870ORIc+XYdeN6TMJPZQvUIh6WJY+IDoDeqzQXXPLSa5LnKnnOvfYWQSl3pIq1gcFX
j2GnFG5NDivGNtSeeH09tJa0S+vGXpsdeZz+cGsOzrskmnQoOog8kdJuUrNaOiRnALBCPS7UtXTS
r2MZnlnh1sjUljX2CluS4eHXwc7Qxi39ygdVa5BKyzvbLh5kUN/6QKHa9Es2Fs+lSrs8GbSFMMI1
J781eRYuBKMV5jZGSvDNONTlnXGre+lXTcFjVKmzlxUalrpVnG4ra2WtBsldhAazsYDz8k4FEwas
CcXKU6hr1XbNo3iuHbnWjHpveCMXLFfYtIblkNWEJXvZwjT1J0xvD/yvTKxQJJrVJqGMEVUhoLfl
mIEuyeplJpUDx8ndROxLPuJd6qqYNjybRFB4JRLbEV+ULTZ6g5y0zT42ZDOPhdjRtlsVAWkeeVNt
M7o06kBM7GQ5Gy3qYLSqH/Iqus0VbeOZAxrulu/OWflkbYrG4u4Um87qbrI8ORRQdTulvUtCsZWD
d/FmGaCZ7jtPOwU5qLqsZc6TjFdOm4jje2aT8iYCKmdow2NhJ+5YEUSGjujeq+ybuqovWW3douFS
F1Kr79oZeYDHGNJvu8is5JhY/p54LpVkH/9UzQvVlD+McXPQKws7BDU4kWyR0S/rfj70ZAevyO6r
Ytxren5Q8HBfUIR7QM3C5K6uaUdNerOvVPxUfb9E8M3GE+Ect++jJhU7nQngAqbKI6LvhW7GkEDg
7oXaFzsFZ9uUD3EV7BiUXFhvw5VaxRuN6t+asABqSPyXk6o9BlZdrB0jfpcSEUR+XbyJDe0axTJa
xdQ04N+NNcOcrRfb2MOVdBVO8Knrain8HsXgqM/iROSZ2XXw7U3kDfsBYEGhFCsFDXZTWQxcCWhJ
vTpZRJ1Yta2/qgIlW2I/WsRNu0zJknSJJ9l2ivzSdUSKh+rG78Sa4eeK8DLWnzoasAxO6yHNDkAZ
DlVjvcvhBi8qQCoZOoiGjiIybWUPYo57PeE5xc+o5btEaU6T0j/WVfHUymrlR/RGvGQ4dSbq+1Rl
+/uuBf6TEdfr4paxEydEQ9OBYxIS7YCtfN1SbvqqqtowUy5qug2h+OXxrRLEv5lr/DCwebmITTab
YXK0nVvu349RcLKAvDY15TLIz1W/6dvHIf/qG25KosuvP87PDryG9teV3gxscg88wuRxJV2eA3NO
kUW8Mu1y+33Ufgwhbf/6cj/99niaiP0wNY3y9/UH02VOqFOS+9dO+di0hxJwZvL060v87BNxWuaw
zGWMH3K3PVsMqgMy74pSI+o37TiuEnToqb8JYZzpzW9Gnj/5RGCeKFoMbglds99UDB2uNH1Um/Aa
Zj69UhRw/qaIf/OZ5o7JKzGTyq/93UXedFRqT2ks2+MiUUUqdnWMnODPkvVvBVO/+xjzn383uOua
qemqjCtUxcmec7nguojwNxehxfTLj/Hm1y9iRgRdWofXQUGZbC2dEHRfzQL3CHzRri86JI5f3ww/
+1g4xFRdWAjhbINR0/cfKw5lGgL/CK+ivClVn0yrnfC+/vNrYKVn2kVCAUPpN18dnBTFJkorupIM
RnCOKzIa0cn9ry/ys6+O7p3DqFNDueq8uUiO1VSEIXKWqnjM7CMKNhZbgj8gMrYHE4dO7938+orz
PfX2nvv+im9+LFK2narQxuiqDgqC7A+k7v1mMdBe/zoQf2EIC9SIzA7NOUnizeJT5yah74OWXqMj
Ua07Ns9TvrRW1k1way3Rda3Raax//aleX/Jl+Wbh/ut7fHPJgPC7gfZ+dO1s4PjAAHSHRSHf/voq
P//uiOdQZxmEbb35texJs0WTAsfwSmepawcJxOXXV5i//be/jqnNdxujzXnI+frGLmodHWJNrAtg
3sUodU6bH0MTq1cU/eaz/Owb+/5KbxY4KmI0+MKOrpr1HMgby7srp98sbz+/BJ4Qsj54ksSbWy3U
4k6acHqvWXaxECYPQOn01v7NVvezR4ib7T9XefPTxxVQwdHnKmH8lGCpNJRVZa6tuF3GzVUBTmz9
5jf64WPpYDXQoDIBn8WuL4T379ZU3QEKl4o8uTbdBtRYb6/K6fbXt8EPN9qbS9BL+359y5D04Vgr
kysmd5wZPiZo6zdf288vYUieGg489NleXyIahlRJqLSudfKkTMw9/9/T9bdbzw+3Mp9BwgXnOaHx
pr8FybN0il7LpvTKOS9trWUQ7UI8N5nz/PJd/duV1Xj4/17FsYOR9pN5Eq/51pDVLKQaCMVh3aG8
4J79qyELJYYMIhWxBulz3MbcHN/mSYIhFJIPgqUNtDd4uv6aJ1mkt6K75kfVWeFnr9c/aMpq9nyH
/bXWEWbEDNeY34POu4DY+ObBpWdUaNQLzTmNbbQE4I3cIU/R1N6Mejfhvg2dwJvslcnqHkC27UgA
A2KpkwNu6JSqS3MMDUiWMizHC4RxSG0L2fYWpYsG6rRl2JwExkYTqFyZV5hJSP6i4kWd7iqek2cf
p8puzatoW6fKXKEW9GcGy6Kft9SUMqo/iampCM1uQHDXuHKHqqPg1iBsbKK6cMBkqsHOHyowc31v
3sNNg5YdUou1eWwtzDhCYl323YGVdqQUC7OzSOL2lsjL/rOaWVaxg8rof+7MalgntZoeQzvOkfTm
3jlSCGsG6h1ssQaSCiF7Y7zRhO7tcIr3pzgT/ZmSunErWCV5LxnoDlDSPskQ11TSYFFeBhjdd4EV
Ne8geGJpDjLrSU6Js+mCpEcJDfUJ/vImIUPvVk5qshoMYC5Ji0oG1AA9TatpIITY6niu1Cpax5Dv
1mahFWS91oDekaETmzt1zbb0VE7gWkEykuME+kdjKph1TxOKgFhv9c8xDdpDW9b+bsS99WBYNf0Y
XQc4UCDgnGTaXto2fuIrzXYlgdd3GpUkhFZIjCezh8ZgiTw4j6S7uv5ohWcrrOuN4yTVKpoceYZw
Zm3TMkOZOTIRD/ChPeFkTo6An+v3bYogp3aijEiBUD9RAybQVYI6hj/iIS8fSvsGYbSyZiJVX43Q
KFzMxfmB0ydNlTreY/OfSMpR5Lq0xuFrbwbJVhapvx/ykGA2KxLKKfRsFcZWTQJUPgI7aRoGa+Uo
STn0AaCgmJjoq1Yo2SZ2j31SKfZ75N0fSBTQj7oiiwtv36M1R75RnetwEKpKvYxTQNoPUao7P8Ta
nsOpR3ZcjLdBJXu3q/tyNYYtuLNu8tZ1Wde+++/K+qcNjaXm71fW83P36cunH9dWnVd9W1v1eW5F
v4Bplo4dR6da/c+wiyRQ3LeUjbM1V9jsi9/WVucPRudAxW2m6GJ++V9rK8EcKskbwmF+9uLR+QdL
K/P/N0srAjlTMFWDtEWWB+/i9ebutWEBND0cL2F2NUZyknVv7GHkOvfDpPdQ6XS863p2ZEG4RZb/
mfQuBQLpBPYmABo8gp9ZiMbZ17FzQaOZA/y3PzsYBpLWeT/NLMo++0pHaF0q4JNCKr2kSAs4Bzag
/n6CxJweaUDR+oLqzuTFOPdqSQfUVs0F+WLvbdI510Zu08+in6ijvYMPYD3ECaKUcfqswB79E4xb
tvdx2FwrxzyH0ptZQkhd4+E+zwfSaboG8sGMaVDqgyYjmKtZRyxuzmcmwkIaYBrbXSuDNbIJj/54
ts4C5QMkiyUN/AX1yzmRPkkiUJQygVGe4EXaJD1ZSWHJBJ9hG6P9hWZqX3InvNQxuBKfzYYk4JQG
NREDWlFDWIRNakUG2m1Cwhd+pkQrR7Ee0ynWGbt7gshINdkLuDJu2Wu1q5ALTHYYieF95yYkyroO
zgjZOxNrantn0xRfTZX1HjNTGS/9sDLvHNEisQP/k9M8Q9VQT/da34PsZwhXBq5FBkGwSiJq/fMw
+hHisMBPTJcVHlkBrFJpg9apIWTPbM2+I9qDicEi8v3NoJrdUkxEdXm0lU2BjZB503MRWadErZ0F
HYSPk4kkg34IsH+vvW+y7GNIw92zGL0RTWKZ9Y5MrcNQiQjea7bNdVVZBXHBNiy6k6MCD4lH40Ao
6ofRtPdpgbcptcZPpWaV9yDRbv3URI9H4nnR77AwboYo8rah5RkLJfS2lN/50i+Nw9jG2sJR6DOP
yshSmsr3SscAxi6Vde/ojG3xJNckjEqv300OLEk1L2z08PArO4Ws8LLYhCEOItQp10z31kZL05Jd
YUHr7/2UJB8SS/8K7gPCbVQ+oH44Zl58T//70U+rK7iEcDk0chtn00NdwVFU82CLvEUsE3hE2dDs
01ZwN0fTQ8eEhxyQT80YrjCyHZwodOFwPUIUa1zP6EFZqJAhkmomvFX3AXhxcJhmzVuLD4xgV8WE
WaIRjyVZrwtkGqeqELdTgCbD8D5oTNg26shksG0/AhG61ZN8LYgho+t4GQoVHKo96cdIdi3/lGGv
7s664a/j7EuM0qXtoMfVM/QonClHeLfd3BqvoW0RdQoCzOlbeLmifkBPMyxJzf2U4m5H7R83SxVM
lUYK+oKZzDt7Ytg95ARqG5V4l2U+VE71cZLBKXGGGwNbBUJK6FOl8wUs3jZ1iG2BdLqDCcUN6M1D
l2HlRfqzFZkFD5T2jtv4QTTYVkmwITyRzr1jfHGmka1e6a+5B48trTWsWr6OOcnLrEViB85CNpWG
CWRIUA85t3HMuhIgFNl5XaCugJj068x2Pg9e8ylOyqunESTpCctzoTx5y3QsHUSI1qGQtXmdDLmB
YRKQo9uV0V2RaZCzQMn4MeSmPD8ak/9Zy7R9S875NvUcZdXEOmR6H7R0AV8O/Hm2duLmGWDatGpF
ELvV7EwiGxEZXoNjjwM71hwL45VnVsdJI3JF12CnYW4JmtuKREgmP8bOnswz6XaHPOVThnHpwh4k
zGJSTJdq142CFAC4MP/d8v+UxM+Sj7/f8g/P1U84HPNrvm34mkBMZ6NgsQUIoZeK6T8bvvoHkanI
5QFk2rSL2dW/bfhUTC9+WI0UB0qnWS3/TZxnUkyB41Qxpdu0yqB3/IMdX/DOXtVSbPSIb2ZrPH0W
jZHk6w1faIWP9HhqzqIWBBwRjEMUT6AnLgISZyM6+Qnef09qg0Xs5DhFprJPa9nCcROhHj2GOry3
S+DlbbmjdVsgzW0j0osLxWrFtcBl2F+zvjgXRhy+A9BEWASBDIK0lalGPRZEH43Eom7LRrrkqkeJ
5mNF8lgE56pON6dgDS6dA2ppDVW7Mz0lJXdHa0RSP6YBkTYFwdmTDuvJaO06rNd6NoTaPk37Kb/z
J1RmGGRZKVYNYZkbx/DBdAigUkPX2G6V99FGicdy1ZccEbrY1lb9UHIKie3q/dQFrbaNndGeVkbd
jvRSdId1J2mhTSFfnC35GSBl4HjFZJ/ake3GLfTcvgvtWY0Ang36FJyTjVYEcXMXGwnpUuz0yWXQ
7UDflIJ/H2E5P0y9SdexIHkHwPAQ5GIHCdNQV/+eyl9O5dovT+XHvP6v/8385+S5/vFoPr/0+ycV
EASnb1gQP7Q9aEkzpaJ7xpl9Pn9/e1JNxGsM5PBTwVdRab/+9aTqLw8xUF0OhILGh/1PntTXzUOs
Lzzys4PdmCObwWfOf/5d8zCSogYV7URn9sDJEmjHN2b54bu16/pnC+W/sja95kg16//5b7x3b5aD
+SrIdElwZCIngfq+vkrphaTETlZ0bvIoTNxcqhlDhYpEAc/Q41VkMAfOR10j35mTdksS2TKZvEMH
CuxWLYKbJCQaywrCY6+qrati5CB/i3SXRAvVpeoHu15Pd20XnMIOanSrHdWpv6lH/VROOQdB48L6
s1cjtOxpNx801dJZizHBrt6CyAp154tGMgJuYODTUUOcMjSVryFrA3xaG34O0aIOcUq8fhBkSo1A
dO19r0zpxusHZEZKDWvI0el6tFMOaqzJEB/r5nvPcMRGJJbxUU9h+CrULptQjQN7FbRlkSBmKOMP
OYHGkOiAzW59B2bkTjMAgS06Q57tsR6HjQB7ySlbBsGiMQpDvp/00samryebSplsa6PlPcZWcgjp
rZbL1kqb0Vuo5B1eZKkrJ/7/BWQP2OSz2zdXso3MzdDFBkCSyrwoV0KGWyMx431L/0FeuV5tfLRG
X9QH3DNdTqPDIHejsoZroNE0Lf3ROTiVLfY4wv3H2bz1oROoF2UyonVtstYkWSO2SLPVLfwZMug8
Gyp67VApUQfZrHArmLmmqxcDdVgLTLf0/XHX6VZ3dtqWVBG+c867U/2pDvzDMAIJG0mu4fQW7hSs
2St2RZC2RP3dYu/fR+qYrJxcc27pyWB6iKih5Eh8Sl6k9Mpi0+1yjd0n/CBTi6CKKe1cuwynVdVA
aa7Zxljxh3BvkwC4Es2IDrBJtGVG9MWZsAmdAOSy3thGt+3NjLPeoNc3PhpIxIzpKcySE0zKbJ1W
4Y2ZWzsZtJHr2cmWJyZ2fUO91k5/11B/3GNPll9hIixqYojtfrC/5mHrWmntxl6pvVOVdu3bDdl7
eUzZlq5jWS+iAfVUbRdf6rp5zsLqeYzG92WkEBzd7Z0hXbOAoEyfNuagnkbZuYbTbNnkjxOWf7/q
PqtWeypTZZ302sqogLe24xO0IqRtT57aam5vJwY1IAlhsdU9Wnb4OZlsc0WwQb1vuh6RXz8d9VTf
Gb5+sosWXWj8WPDz1Y2RuJkUK6+zEZfJbatOj4NXr/yUaMZSLRcGOFxC2DJ1F6FodbWR8lCIK5/x
1iI/zR3CyXfDygNr2anhKTBtQH6eftMkWX3qy+bg6wM3M4zapBzURewJ7rJ0PDg8RGouGKxV7gBI
VxbG0RzyD8rULGNL3LW6f5OVxZGm6bLTnWPadjeBE+4TvVjpHiRp3x8WRCJpiCsZRLcVTjC/Us+x
En9EQfcRzs0+rONDnsh91Go3U6+5CQzQPElOlklcQ1KOh0mIbaFQH0iItmUstu1cPVdFuAgGsmam
npQitGjllGV7mMxf0tETCyXI0AP5ROVZgxFvSqfYeDUu+2lUyvWvV96fmCRQP+BcZSIpsRTw99cr
bzBqBD7aCYC/kvK/S5wR//sYuym05GOTIqMVHYDaPEgxjUzPWlHWN2UZq+/kJGmCDMNtW0VHdfDc
2BEf1KHZlIH9NYsjBJkFsAdSKQkRHdV1Ps2aOi8EhGrVyx7t18IsaW0L2WyhSH6GrN0uw6h+r2Pc
WGE6p1uBvnSRZMu+XNbDTitigfEoQ5tVbXTiDBOdnKtUfBmT9A72yL6FsDrVyR7Z3VEU+VHWurNp
+hFo4Bhu9YFJP+nfS9uDPhhgC/TZ/dxarW/NsSX9IbD3auDwXHNag0OC0jCqhvso7MyFY7cl94J+
MUN0XqVtY9UI41NXkPFVR7u4tzYWEik3TKjhspjGh4RkS67Gmh7oyvKLY4JqEbaRfgmT/pC0KWM/
WNq8S1JYx3pNWMcljpJbHOb+osu6xLUzJVwasyeqqq6hUXduSvgClX90b44mTokhxICGvLTjZhq4
QWU1EW1SzjBfTn4IaE3tkUAINzXIYHTMbc86ZNQQrRxxVEvwm76jfPE0e1oUNNdsSudFnKTaTinm
taw5hsJ+0NVkraojvGclfhxTXVtG9Rgz4PAvxmRpLsC8mdVOlA484PZ9TkrNISTO6JRArN/9+lZl
jvOqYuCIwHRIMpkDDy2BY72+USPwdQw0Uri6mDyNaF+hw/31Fd4MZnEdCYvQNEnNRLinfCu6N2w8
QdLx/XNiI621L2EbbsPitupReVbJMrTLtRP9eTj+26EjHdhXn4sP8uaq8+f+7oDVFnFTmIainNQx
u8PORDeTf2BXfPBNzh7oHyIyhawPtmfQiCBDoBsg0yVZP0OJw3yZVdNDrohj2JjqEtzLOnF67bMM
TOEy+b+38dORbjMeRGI+2l480A4x7Ja7KctX7SSylSyU0tUKYBTE7Iy7dhDG5zwjQ54ELGMVhuFT
wr26KlU7cFmBR7fBbL3sWueuNZNpw3p43/qdvkt9iEbk5EXC2bIpvauram3XPfIGK9oaaqCsIpUT
StJnGfE1rbosgTu7VY+uWITDrR5kmIxC8pANn/6kA36k7r6WNZLtugh3lalsx958N0yQUdR4bzUw
RquZpRd6BsOXhng/u7V28RQdGCC52ejprpGgaDS8mFVW/dChFwecmJ5kMGyyql913sQdrK7ixk8Z
wxRuHmGYKKZIulXinQqY674ltlpuT0vpD3fUfRzgsE22DRZjw2jU5SSajVLMMsc2/2T75alS05uS
cpTZSbOotT36UFQrlrEVmWRF1LT7bAy2gwcVvKvac0GDGWA5kMbKfKYZRZ8HrWhpmRu/MI+Cvtuv
b/EXptVfM8wf77b5IP7d3dabHDH0ibstOmZXUg7X5aF832+mnbW1j5KtZ/lE29Taa6fsY3/49cXn
IcN3j/C3izOnJZhMn1WLry9OPSqzGMzhqXCtRXbUl8UalYV2UD6INbnt9xdlefzQrXCodp/4S3Ie
j+piH669s4Gw8zfv5nVh8+ebMXD5oGtk4sD+9/rNjGqfIg2MgnOgXkF3LkL1Q9X9RrPyes368Rpv
ZBFTlbZKECQBm+uzX22d8TfaqJ9+BlREQoBVhUHy5tckIHPCKoLOO1euJZr/yuLM+ecK9a9cQePX
+kWHDZ3kzwp3XvSfwt35AxKdRSuN+/mHFhulLJhZ5mnoDvjdvtXt9h/z3iL5xcjN+5P6+K3DNssV
aLoJXbMsgXn2H8kVxOvdDOaEw5iNWB0MbLZNW2HuwH33pGueMZMQhHXG4GBU97oTJCmo6DHVyEVU
WoGDB/HWqZax8VCAoANI2yc3qmIs6TgkKVR73F/LRqgewGpp1+UuzavJHUVHJnhL0pyxqoE79gZ0
BtBR+RTf5ETU4N25JT/649DrDeQs4zzaGfGPc67NJAYKsjL4nAvYp/qcfoMFDyOXioeeYBx2OgYt
ejy6PaE5geY9zIru4JCrEQkByUu8TpyQu5pCfEd5T586d/E9kQuZt2OTnUxltLcjKeWhGXozIKNf
qU0WLrysKz4z5vjod5G9bGxS+rQiW9cDCLQ8JakrUrYcWxpMb9ln1agiVAZ4DeC534e+8qSfimw8
5cjeBxo48NcAaHiJ904r5U2aqytn7DbRdKM19n2PQNGW/soky8E5vdx//z6Isx7z7x/E46f4+ScN
NF7z7TnEyGkgbkNZIumjMab+brZt/EHrmwcKOASD5RmA+u1BZLZNQ00VSHLRR748o98eRPmHjWyI
1pdAR/3SW/sHrW4OkK+2vZn+whrA00iBpaos1vOff/ck4sCmqVpm1iXuEv+g+Gnp3Q1DnBHCqYfx
pp+JGuPM1iiBbJDbnezMCiafNRM48KHlu3SmcvT9DOiIEqmuhzkY1BQWaEUSEaQFy6WPwmoR+9le
cZiEvsxHh0Rd26mPbRo7hzNJplYdO+tI/BS5nROgZPom2dAfoixZKxIVL5319rbp6p3eDfbHBK8E
TYjAWfUkECRqvp1gyfW6f1tqGU02m5l1rQO+y9Jq20za2amdZ9KobkJDXqZS7mgn3hFotFHy+kHx
ZXHAyXgoA2dXBWa405z+AZvrUirBXapb934oQTpI1gMzNgo0Nf4jmpadIQvOjd4jwSmf2sDQgOdj
3olpOmyIqOI9m0zzDCCCFRNHjK/OoTSgCcaVDlg6OZd0CGcvGN0N81MVNJdmyr42fNGkpeTLKSf/
cvSKfSpisUzzZms50lVxJzqajp9yyrC5kDYA6kZzDTHuJ095kFVww0nUWwZNRAAinpMSGgmrAMug
nENt6P2h+M+3HEMfYwYMqHWQExvUZ/6YTEu/CJ7qtKuWY6FZbqaNG1uh7YBTf5NK/ZwVpu72TRLQ
9KjeF15g0pH52lJCb+3YdlZY0LH1W7bL2OcrzkVMcY5zKWfo7RSCuutE+U5WkkQtJ9nSYSNMsN46
XdUtTMgkUVOIpeVnTOVVf/w4ZtNe+uYXgcZpFXWRg8NyejSrYk+q18dBnW5KaHFdpT32Bc3Aqgm+
CiyeM0jHWRV1dE7FuI1rjGWVqdUMYfrnQZIdSWQmLvfCX0d6+zQGFeory1jDB3miicufRxXZMDoR
oJ87tMtHVGy4WtMZWd3AUMVWPIOs+fwkXI0z3dqzQhx4Hch2WgAvjlcOb/xSLz7YcrbExvM3PkHX
ph5o3BgLwdp5sdF6s6OWbSTYjphsJx6Gm3H23caK7G+K2YvLVrU3jMhYEgiyMGa/7jQ7d1EbkDw6
u3kN7jbOVrPFN9ZGCNyz7xdMJJKMEl+tlLiCxewPJpilgbtKP0ztunVPeotU/QuBO1DusBcbbZkt
AKXcAKH33TqJzqVN9a5rHxADjneVRpWdaRHRIGWKtgsegDZ7mSXdxkVlGzEZGHQHTBzXw+x9NpD2
LZgNcN/ojoLeH4+01rfdOTVNEEf4pwVG6hhDdTw7q+EhEbqDpAVuav25wn6tGQWDcQzZmd0aCxxA
e4Xe/F6bXdv5i38bEisAGTzdJMf1K8o85AnzRpnN3u8wrYq1UuAHn5pJfSqxiEdp6q0dJgarfvaP
k8PKqhQn1iZPZ5+5EqmMu0oyN2fvOSq0dDGZ3oEU603S9+eQJ2rZTzRrCS4Pej61qlhrzc8PmNg3
Yeo1q9zBSEgvAGGcI5dDICjEZMsvNJGrhEiOvu64TrP0JrBCiktqUayu1kH6pHL2hboJrfhR7apN
q9R3yAw6GvkVw/e+WmVafKrbCpp/C8KGyCCSXYstfREMTx49STYPtyDIlP8O8uxJDuk7/GLJkUxn
xBnYR2iZO6s0tyrOOOoWIeMHjj7r3iwOrSefh/z/2DuT5biRbNv+yrU3hwyNoxu8SSBaRpDBTqTI
CYyUKHSOvsfX3+XMVJakUqks7zgnZVWVKQXJCDqO77P32qYB7jO/6LIRC5yBak9/1T8Twh+bNjxp
v5sQ2vbtV+tw/tS3GeGdw463jB0bSdsfaymMD5b6v/GyORbzN5eoP2cEOOyMFFhGiYgwzVM3+a8l
m/+BXYnD38igwETPXfdvzAiGzZf23dWYGQHlyRT8Jw49XYCe+3FGQE2ZNKbw8Twz+7ob1iEpqFWX
ZhkimlilzPDYLVlkbWZi1NmD0Rv0LbDFT7pDtSTsJgawbqcWoueySSezA9s+VgWrJmpeHfvzBHMG
ZEzVhMuGsmmOOHzA++kd3e6/Y9zntgXB3CUK7x7Oy+Kv5R/cdxzIbJxrB7RCheCiCPFLaQgghz10
tg2UimbZCNegbkKVBOFGzYxdr2f0czcDEtZHaWixs3U5Ztjac+AUjugQxQdCyNbcp19Hy5u2EXqw
juSewoS0fF/fxxSQXeCrk68JTRVrP4IzS2Z3HjaaxMGMEMjzmdjOSs81kL6YqF8HG1vxgmi16/SZ
Ome7jsTOnuOvzqiJVV54X5l0xKrLo3zjVvyzSkvplxh6WmrccjzGER1UnjpUowRABVieCMeTxpXA
pS3apKyBOkjYLpAHNNq1Fe3HmBN97zWCOSSkfsbwlFl3KaOLqtHktVAbRFLU/s6rirfMXewd+IKI
yPEgdm3ZEZVlfcjY5qYbYffyOtPBJ9MmjtROz3le1yPro5IJzrPeYkpz9tx5+FgMWB7zSFDyWUa4
wxztFVJftHcW2Qc8XSlGb5qv7hiGlP4wIrk5g996bCJIXZ1JL2+ZtxckStO1qcXpJV9zzqLHKS+y
cQBAkNKa5toc+e443/h+aO9Gv8w3bR/bhM1zitUaAUWgD+kjWhq+TM/6JIsMy1GdRgjUAs16ZAlT
umDOyDgRRSytdEfPaX0DsRkITzR2N27CRLLMRg1tfIamjI1YbmkYmDYt5AZAJFO1mQy3pz6rpWt6
KrI9MDnIsmGa/6HS/HOxUg07//nYvHsp/meFj+il+fJLVo76038dn+IDhFviMSrLqqIU/7piYTTy
iJc5ArwmR6KOzvDtimXzT5C3ffZ1ymf0vZvI+oCXQMkghCHfNZK/dXwqjM8PxyfaF/4BzmLaAkho
6Oqff3/FYpWNnd+Kr7TMM9f2wCniLTOmtIE82tBYcw40C5M6myjNpXI8W2xMk2Pdph/nNMP/uoCz
uKInRazZCUbsER1XH26m0Svnlx5DrdqTYtEB6DDJAZrgqgYspNrcHGVFhS9VLwfufk3U7jqmhPjO
6ygnb2xAebTxgNxdLdGS3uf0on0UmO/MQLLPR+QgGEr/XxpvK9b9S9nJFgUDBrzEyPRQGDAFVjM+
2YcKNyL3I7tagEAXiyEDWoKLgKuSd21lQ/Vk5XX6RF+5vRcg5TmaBhmeXd2IvJWEAA+DG3Mx7X5L
zp0rccLAL80DoOs8yK20v9Q1N79ynWK4zXEJbWjSNAVTUDHse+pqaYStvWezyKcFK7JfLhAWeodn
gJfYLlhE6d5qBqtMJsE82Ut2eZ9zU7PWcSTmtghmvbYbc8vyM63ClbB6ymy8wep2gKDxQq+TSRue
uqQxDFIznCsiBUhTbIgXqzzN8ke6hicjj6W9H3n8a3PVRDtX7xZYCQNuLr9ob3y8ZNsUfpm/kkCo
73MMYL7VVhgx321hhRYNPGNaZfCN3q1j8buNzFOOsky25v3kY5OM2CNwysK5TuRef7dakHjAdlEb
TTpxVQSh8+aMXvTmK/cGJSXhViYxz9pEOTxa5fXItcZdE65pP3FlrRr6lDU/wH76x8bqn5PLYP75
zyfX5cuXt+blF6IQf+qvE4uAAssy8uomBC0EmH+dWGQhAAPiq+LMILbzfeDB/QDyg0gDiEKChu9M
sG+ikPOBQ4wjiz9g0cGD4epvDHzC+fnEIpWmTj/mToQm3VNfxPcnFuDVuTU7IwKek2M1onyza+HY
Sfo4rU4+Vpm2qsg/rBcaO11V3VnkEWvVfq/T6SlUuefok1G0RnCErjxOMAlXi5/SfDEwGNINqnZp
QLmgzXu5fNBVgWiY+P5GgLYy+oriL6+/6oDtDsbw5NA+atBCaqs60iSKnx1frjWMHQ+sWfU9tvJj
lI9h4Ib2AFfLKLc9DadlojE5GOYTfdHFulY1qNQxMmoQLNhSmv51GNs3jJYcfkg5G69MIRbSqFpm
8Q31si8LTasQUimCcCLgrTZumwwEr62KWXsKECF6xPOqdctXj/bWmBbXHM191YC8XfcNFa9tZVxr
dL6mQFBKOmBTVQabNjZVZIl5baeExgtrWiWJ7IJRlchKNr87vJADSfLxM22mpM+MPlllscf0EdvI
zHp6j1f8GomZMlEdNGNrSUDAuX/X0mOb58ZNW4wN5wzd0BpdtzGdt3E3HauSWmh3jKl4oRc3MioF
huJ6ihxcrsrept0yab019fDLR4rUi71f2j2VD4QQoqqzLnDKphixpy9MxvNFNMQw3wodmUCV9lrw
dTcVPb5OTZ+v8CpuqWF4M6uy35hGjy0oLGWNzyH8qFLgQtUDl44G8gr9LXExGNTPM4bRXRtZ6iIQ
YxyKACtU9A3TD4aLljZgKohDioxrai5c6onxLHzGAE4fsqouJniXb6SqM57oNZb0GzsRkIYkq2i/
jKgTIDG4TZNiomtp2CSh0W0UlOLCNOtbTDnx2kVVXKeqUNnrWUvgzLf2DcjWIOqXz32jW6uq7bFO
qFLmVNUz96qoOUmpbF5m7xLdyV97k/PWVAP1EL5xVYzgYK2OjzJ+m2kdDYCwqwjPoKE5dwUN0YOq
ik7wt6ygpMl9106QkKLxTlPV0iGOHOAqxWrM2XAgnSInqSrqmk7qUEfHIywi9pTMPfmp+YoTZeeq
Imtzai+1XFPlWB5tGbRdL3H9Ovtwz9zRhd5UtL5zg4TYETxYWBJhnrBxE00NM4g10vkdP06Q+bZg
u0qMbb2O9jttZ6uzrt0xfxoL2F+g+rhNtR1xCHt+gHfT4VpBo5gSTeVusnVZdnOQZSWNbj1cFsku
JoEOFDaowAbYnqPK4pAmilPA2sX9UobnxqlO/eS3674sviZdfWda8aEwvePgAePs0uOyxDsTU1Os
xZd6iqxZzszztGlxHWnErV46w9rg793WEyQBC0ceRp0D1S6khjK+cD/at6M4cjf66nTutgWMx9Ek
NmWYzxeQkF9MtYCvDcUSnxiOknlwLpKl23pTNIV9kLpd91hE9VBup7gSC304TXlnUfj1gM1oxDVm
Ulnq6O3Q7K3Es5+jrLQvuraS0bWMZOQduloTz2HkmOFlCrVnl5NrWPc+ARRcYxt7MvlohJHchHxe
9qKkUHVM0Y1GPncbu8KQxafwqRf9foHbSqTD2ceMd6BC0XPGJCIZUoY33rKcp6LvAmoElgA1/1o6
ERYIeLibvEo4njLIeX2Ufo0a96Zx0M210d4SUav2lC3JwCUZg/8Or9fwUNvA4Pgt3nkhzm+/hySr
L9e+SI59NttBVekvxsQ5XhYjieH81hgZ/LoubPe11AiBteF5znQzmDuAeBo1BKuCi3J2KFTLb2sV
L245xBvLhEHkUgWcZOmrSTVwmU6vE1XBRT1Xq4Xy4FDQIoxXEm4axcL6dAJyvs6zvYcWWyw7nDA7
bfDOkeokHigndigppr4BsxNRE5f6YgM9dmWoRmOpuo3dfLzLVdtxrHqPG9WAXDCpYm2B1pyaCb54
vPMzhcnWoBtBPnLlM536NklthIfGPYVVfV2qvuVaNS/7iNB1bF6JmE5mO6KJvGkoQqKuOXPK65L6
Zg1meVDqziMhos/pSMMzrLrjqDqf8ctAv1oe7drjOpqcZ9UObVITXam+6D6ttomvmFzeM07rZEft
dBQ4WmmsepYrBQnbwMYBVczAnmz3zvUzC/lSvDmD32xH1Vhted0xVR3WbBEc/sVp21BvLTpwfn0C
kymh+pp+MM5n1hfZsGCzTe6A18GHA63FhTijdHKgQzuzeKt12jQbVa/t0rOdG9Fb6vt7m/7tUuOf
hjRydwPdvDR052a8+0dAfBcQlevqd/Nkk1Rl+4uJUv257yZKS60L0QhZ+wMD+GGipPbDIrGvtEX3
u3W/+4H9u2H8BSFgzPs2ULqIi9S/46q3hHDVGPo3Bsr3LO4PV2AGSqov4BIIi8wAfoQfB8q00TLT
Xcz4nOto6pcxnQ3Pk6HHHu3ORN24A432xdLXzrMTixEzilawSBonoGUQINsHPxblne8n9gI3rh/L
rVW43WNr9QZnMwPexomBo4pEe5hM+nymaBGBNM0sMCfn2iM63kfGuR9oPpHzyxgtL2YcihXGLqf1
8g2B850p8+RszsxERuZspoHSOa25wFXFtbxlSRM1VK9H+vyS1Q02MDYINDxEqsaa2ooZu2lAqEgV
UNOWULjeyu79g4i41A8jDVy5cysG+zZPHGOdWbhCw+lq8ZqILKXxUhf1XWWZz7HHdqUE07otirRf
oWkuOy/x8wAPO85QYQO/d0+D134ycwjaTiFPdGsd+zjjURya3lq0LmiGJmpW3C69oFqyW2KaH2ux
VJdWQzPEUnAQNmoP2NBMt6KfFhlAsqXrLIzsUxHJU4GatrjVJ/I8Q9AaerXu9eZtaZuZRc0kN17b
72Wbkh3O9wZPsMp1Ux4SfkAj2ATLm4t0yeI0TvkZECAag4hU7T4p+G9imOAD+uVDEWdfOKpuPEH/
WyU/G1l875S0DHRdKk4hrQasuG6SSlUY224csGYOVxEUgEhZHEopbmPHuRcNMG08cF+csjiip9xW
s4fFWvd4KhBAXjGJpasymo4FhOJOH9kxlsVOJhrOadEvQUdIlp3XQ+q0OFpBtmx5mm2cqrsrbGcM
tBGiQax7W1G7w1WvBmV3buETN+LQEYp8wIo/EUfsb5aBzZONvlOA6lRVJMz8c/+xmdPXcBjxrsVN
T7BX31K0/OiY3ic3jAKzMV5kDltpUl+GPtxqM1CEcDnLLGFeMrd+eM2HtYSd3p+kn10vs0PzCrNZ
QT/XtpkSBjxGCIJW87Fz+NgZdnoqzZKOgoYvXPMeNZdbSmePNF2kUxhojepvy67sKj9bfnOkFvJ6
aJkTCTpjuHXFVrPqZ1qE17Ftfsw7idZQwnIdnPOcjHCKnf6o+dith5rHb9jes6h8dbTpsnH6N1Cb
923nHoAgndIhMw567OJmkX4b2CXvA8LoF2kALzYXVGFvkuyrCufMNw8adow/1Q2GAUPPz2ZoXGMx
3NZ+9qppYeCVPun5mLVWbuXXqqWJx158dPOueIwdv+FSKs2VphfyqNGsFdgxPXEhdovAzfMXZOZs
083yxmjDT1Ir54BtC3luLMe+t5xk0V32BvjVXjyNTv5C1wzQUV50NG/SKlnL0D/EFM63Ut8JS+yt
CnQ9JZeXPS7dVSFIp85ZsRamQpQYrP/t+MJHczkmRlPctDQDthfTYCgzfTFQsWgtQD1q0g2p99jn
heQSlhuMVTjLt7XUO1DIfPVRARK4moR5Pc3igj2xcRXzixXwntvnwqUgyh5IJDLHTo9LXUS3SFPy
mIrU3nX8CDaj1OTeYL26olnAtcCqhhEUa6eL951msZDAzSpZV+jGVkvDP7GM/8g+5m8F68vyl0j3
72VqtGi46TCcTDi6KqP6F+WCBaCDcK1DKGVr965gf5OpYQuxfOPRjiTk4pTDWf6vZzRoeEzfaD4+
QKC/F6XDc/STTE28woMwx3gIrghzwk+evHbBPt3bvXMVWcVygh2jV+yNvbgWQBbAoiyrJeyZ3DUk
WLn2utAtYZLnXE96Gt8Vg1mXl16f6DnE3YjXiIKWVZeAqNuLFDItWSVI5stoy4k+GdjEj2PPZXW9
6BENqujUml8dWtEQ1vcH25lu+tRlgI+1Mtq6dqMF/VQ8mjqkZYvbeaeesm07dDAZCAxwuSSMH2nt
Nuz1+7QwL5vCIaOWE2Wa9dtiVpdPg37XMqyQQ/JjUYcnY5weZgzcBON4wlRVvuurA6cyAN6oMleJ
kyZB5qJXy8nlTughU/Xhgs1hokve9a8NHSiAxImh9S2NnhgfVrpPacWYexcNAFhz6qZ10g+fOkDg
K6wLlF/oNhjm+boti3k7OgP5h97HWT3UXWC5y7TOOoC72O3h5LA3xEJhbghAzWtiPMhq3vBFE9OR
+xXzO0h3NHPjyzRRqonrcUs0cJ/YIJWpn4BYQC29sumQEiSCXI+ntofjNiSDiZZv3Wk8kWq3N7c0
tQc55fTc0MPqAG4wWk2ivErN8pYlH+H+6pjgMo9p4FsNPC8MF1ZOL1/FXDE+xMO6szheZIYLkpZ4
WisuRJhvmsrjvhEuGEa6KWXMKLOtN7soTVZ3mUNH2WZShXMIqxlR9Ngz8wDU9LnjzFay1pzoenLJ
qQi/C4y6uxj6IeX+2TxGJdaLJbOP82zcddG0gU40EDIjllykt1ExnBLbWmdu0q8c+pm4T89yVQkt
3DdZGAf65F/rduluvNp6K6XR7g2mbzpiyyvboMsjpqSysLKP7IYe8rRelVV91uIKrrPPFlFI+rw9
maKw5Q+jS20YS9Ret570qi/XLifwMMq7KbNZXtTzylHw79gj2zO3KUqRbsZHgkfYtfyFLfI4PhZ0
sK9Ts3ucwvHBEO29aIFKsLXeFbF/TlubEk7Y83bHlRjkNOreGPRuRi9KBmjC48Zpdf1dmC5AdtlL
kMmMDlEron3d1be9szyBLn8GxgRsI8GXBzqjxkoljEDo/cchQbA0MtKUpRNfaFp5obv+C/1U1GFF
tUnnknFHHmULNOW+avWdZpXXo57AvkmsO/Zt3tqjA3plUccYxeIycSstINO+nRJJkYFb7PCPveTR
Mu1xmu37oRF4+D2f+iYemlYOZ6Priqe0YNKcVcJTTot39PUZIdKAfqwvjaJ4bfMRNSA0pdiQN3ZW
jjZC+JrPhiEAlWOnK5v6ijH0I1Du+KLJLTqojektS/zbVLCId+jUgfQ8IbQt89dxYGocBvJrYC9E
gPGCQblVAT2X0Eoo+ztyKHx0yBzjp9JQR6tkBpJe2oGAUJJF04sTdwVFOaqqzfEZBepLQxNvGTj5
dTmxw2+UuGSjMuF//9qgOkVlsp+X8ql4l6PQpVwlUFUoVbqSrDwWTGuz54owmeIQYQFYgfviImKm
lwaaF+iq3YwGRgYaKjcFOjI9xGhkYVx/7ZRohuR7mlHRHK26r5SsZs2MEbqS2nwlujVKfmMvv3GV
IJeizBVKonOVWCfbcGUr+W5UQl4yjA++kvb6EhfBoOQ+XGtPkxIAJ5TATEmC7NTpnZtMVFr0QnN8
G5V8iOMz2RSzOMZO/jTN/EQNH+T42JnEK8uHd7eT1WoPpgCRGaGzzRmqw2LBNW/Lz74pnpdG/zoY
fBiYDO+rhjeMRAgl2bIDFxAVQIRy93pgEYDnyUBQGjUMUsMV+P5bvlVSnfF5wV22tYUKxwyauVoQ
x13u4OvY0w+A5OgUCL3pIEb7zqzCT7FLoq6RyVs+Aj0PxcgQDSNSlcV+tAoWhmCSF26h76i6f8SM
P8SM3/qlmZK6NxK+/74eUzGEb2IGOzBcx2BOwbaqQem7Sck0PuBRBrPpOM6fpqdvk5LzwTdQqlyX
p79SOb6NSe/JBZ8gitIx3vMOf0PKwH/985iEEGY5wEYs5evGH/CjlJFXMAVn4oBXubUMW/gcYl3q
7pOLsb50+0e0u4/ZchNiu0c925jY8Psu+hgqX/6srq8VVv0ayz73JOz71ph9zJWf31DO/hmLv9Nh
ocQHfagw/+sRZEYeLfTpNHh6VULA1I1nah6rV0OlByyVI+CYC1kQpejAmFLDqLkoRmjeqRU/5lQc
UBr5tFCDICuvCcakfsFVcOPH1kvjGJ+mYTYDp5suEe7KYI4zrh51eux75HA7L4fHWfeeE6TJY4F3
eGOMmHv1Kv1I/fOzPrvLQeR0WWD/2Tresl9q83lo8yufAvvZce/8Zpdhnar9soHqNX7s4+TJS7T9
qJePbaNFF65Zrf1WBHkxwGAkiCtnoFvJlbqg13Oj1oLxl5IrGNMjOwNnvPLVXbRMzIMotxQEwSai
Q8O8U/E2qkK67Kk2Yw6/Kt0B9uJyaSgsGL7Mzsagk6UmJQYiXJV22+4Hx4eMNloA+7WTk5fjvuxo
og+TfjOW6W3VOicU8mUrWPfRKi33dSm/NCD2153Zcsdu9F3jLFQ3D/01pZh7PeXxpIdDsYsLykIS
+nRkwetJNjt2hG/bbV71ZU7I9UKnpu6+pBxgckKYSz1bvC4501x9lVdi7aR4nFhxnMYoJorsrl0b
H1QnqB6ROlubQt1yo6WcAmccsG5mhG6lS/sbHt8cZwRQsDnx6anJEew794WKmgO7t27btzR96FwN
TXO+GV2nDVwDbam28D7Tmijq9LYwmJlj3jmtsj7aaN81vfYb/IbeqdaMg/TKyyqlxD6fHuK2fa1q
+InGOIfrxXF4XMK6CeaGwSRLuwPFlJS/g4noE0SJBZdjkMT5Tch6LciGaZ8b9Kw1XDhwWzkjheYH
y0xSti00wOTlsayqs2hitC59ZxuSDhTmKcKgNJdI6y5dimcYGsfOGC9LfBgrmpIuWEyddGIJZg4h
QOoVVg7vNQWX6ccRy1VTsvNs78c2uat67SPw/oNelBc9CUd68Q4Zjmi0hOeilR+drOaHuownYTVH
qy8v+yHr6C6fbmQ+7KYwOYneYQEx7iu/PBgKkzyLPaUmF5GgAKaB0laRpx5b/VqPhdz2C22xUfdp
dJlZWrEwVlHS1tNVNy/uReObt3ZSHbNk2Itsxlgj8/4AXvUs9OYyqlyqXQZqn/CYUyR115btI4/E
I8S0yz4WeFnm20KX6F/80mcy3qJnPUaZu7Ojcp87iXdg1bZzhlG5h7tLq/ATgFfWjaCJhlvmTa4N
SGx6HcR9c8D2/kmfyHd6upRr3+xvx9g+9TgmVzADqLtc8k+oHHu351k9d2tQQ1zOvOLSks7z4vm7
URvpxGVMS4anoun3ra1/XdqoZ9nN3QMpJuESzNVu0Yr81kyYRSBzSnPrlTZn32RZF+xzoVs48uhH
/Qmd60AGq8O570O+i89ikMcwAsJI1cflGLL7TfzidUg6QqKNvNJ0f1eX/lVD0h8tZ9rmtW5sEtt4
oIH4NIH7sDLtygjTu0W9hUjnrxV+9rKN2EaNRyPSHid9ONOqfqVnrIkcl53uPL6YGtegpIpINdRM
4B3vRWPY26KPkl3t5c+VZV3OPtdf3EL7rEx3WVGN69YxHujvuajbYRXH7INb7WZACA5Mce9GPSHm
5TWV7t1id9GpsOvqoEfhbZUXl1qhh6uQAlWx2M9G5exg1q6EhaSYdgAuxmYy9xlXWtOM3jImRDL8
pX6c3fmE6G9uDaOyt3pi7VwMTuTn4wo5nNneifR9m/ef2jG5q7nqz310HzbtnlZVbn6j91CMyY7v
+Z5EyGNXx8NhEtdZRrGKPgDkczBO5tPOFuV57KL7RF/atecMe428dbd4h6Z16E809k3k86MxzhpN
l6uY+p6hN++IyHkb3SB15zXw5waDmIPlXLaS5/1GtpopN/1YJw92nnQc/o57NItQ0QrksI1rB9sp
VWKJN/DbiUZBZ9zKafiW5rnaMzDu3KjwrxFmPRBxQ7FZtAQ0wlCT7BtQSEHlvQ6sWIVTpFueMDSK
sQSBTyWDCYnfJmITxmwuJ9nxiBn84SKVE8xHbf5aNO3B5rd4lc2k3K0URJ6TTN7GBnQ4lJHJjd1p
qP1BETTi1tVWeeoQtM6jEwVV1blgs/wpNVw0bntptG3vjfZNOxJwkd5CWmKUAi/MwJ5yU42LXC+G
dqKM7gJ+wrXpZVsxpRvXXB5IZ91GdQMA2KRIzyoCUxIwAI74KRztVLXRbBqjJUiVTbteoH1aXfc6
wPI0Mu9JhNblMNKMhrIJUGTbhbDwrPa+gqJAYCd+4WR9IGG4p8rvrNvTW5haR/bIxJFi3MAJU3+r
kcdc7KOb5JdgkSwm5ByDC408FXVCPY/oZqZey2lC+rzttczK267NElauy6GKnJM9JXujAd2SVYfc
J8td6hnwsYylZmrd+GN+1008MMoZNERR3Bfk8ZEmsiOXThyM2iVx14BRaGdO9aELfUBlQKPd+ohJ
5dER1lECE2wsnrSWB3um+szFeJNm0c0UMinQUrxZQuyD3IaBfL7lsX/S6J+mJ5y6uv7Y+/IzLitg
NbCTSz25bUxgZSZ8U+pCSbOxcZ/0uzbTkMwLTQsAKWGPiMCLjttwYJcTUm/c+y05DxrCe/MTwP5A
psa0tclYWQiyjBYY8QpZc7pnn6TVByytyX405sbPelb8kQRxkT5gbN5Z3nKtD3j2ss64n0dja6XV
Y4kOyM0ZsIU2JF/CphwCGmH7TRcDhbX1qzCyCEbRYA0cfiNCd5f6ycFPdH8bRRCpsuWtmu2rrjL4
jkca6RyTD0tUjjbKEgoXnEdjE86Ody6N8qIQ6AnSo6e002+k0E6yw2GpRda2ban1C+2YZRKo7X08
O0/2SHeez0lDE9J0miaPArOxfJwA2VWa82SaIJmrBBAo0AFc4f02awdJbRHfNSjava+OnloliEo/
3keNTAO7yi4rmu6ySFvOmtkcKyOq16bTTuu6ybkpTtjR5xr5nf81E8w1hvouSqZqh2f8gGaAvaTr
oQipp7YtPk0Gv2ipDumgmWgjq2dxZWTJFSuRQKQiPrjx0p4IktF1NlmPtENGF2MT3vitfKK1UOzV
rzsIJRb+BU/zrBmsJy9mWVSJG3TE5ORb9IUb1SGq9HsTP8ZS2jq1aT1CRrnW8+xUR/qudwURHDv/
2nul5Cw3ucx691lXXiTc8DPkwEESwcF99wn7+a0/EcoqKvcqNSLibOlWumImF5k+1NJ/EpN1C5+t
PNpWWuDqcMqt2YmnJfcPPkweoN8JGgyA0qNWG9vSSFjXFWLYp5KVSUtjJu4ukevW3WSkJteIpkGt
BYIlTKQ4y9E2ppGEcHG/W19f/ztQjavYd7tgFsEU7vmUsBs84ykq1X+6QJmJrk+mWSTnFPp5UVy2
y7Tyxd3vX0Q5FH9ASby/iGPgbYTowFXyx1taFsJN09o2OevzQSswEMeU2N934/3vX4ab6L+/jMvq
VVA+pJySP75MqOs+twCdwd38OpYfNeu/FGn94u9H+Td0k9wNP66ff1YtoMUSsLM8FyMftL0XYhP4
y0rwi/fiV38/DQT8hPhBqX7YH7/+yFUCrV3nZ497h31t+6ff//0qGfRvb8N3P5+f3mtwWAbyPT8f
zDQa5GIWl+5aoLe/yXT9t19KUXh0cgA2Lgf/p7cC9rS+ALjMznq6x1HU6asKIVUEPIYxxP3+tdSX
/dO39cPboj7i3zn6dSPJB9eR8lyRuG+Z6AJ+tThT52H7+xf6xc/vhxf66Zsq3NSnDOyPF0IVhzs4
xVueI+pRXP2Xz9ovfi8p86VNTSGM8B7/BECx7MIsefAW59bahvJlmDZ2+Pn3386vPm7fvcTPH7cF
MnMZ2XpxLryXNHwS2v/h4+xTIkNJO7U/9rt28937ktbS7oRmFueUExABV87/h8NLBfMdUtv82kCK
+fGdL7SC+d4xyvPivozuVa82Pt1/Obt+9abzIYZlK5RFXAX7vv90YWoF6eAt+ZmeSJybauNi3wwN
SvSabcrv35FfvJYHX8A0DUXiRX/68bXi0CNZCMudPnFmkg3IphjGWo2mvjNv31/qn8WwQgn9deiu
X7qX/3kjwd3NVy/52///f+fmBdDqLwRP/tQ3wZOYEkq2iYAKK8dwFT7sGw+ZchkSPNBHTcfjA+Hw
W/lN8LQ+IGk6rG1J8/xh+v9L87Q+YARzlBkMbB6+r79Fa0HU5FPwr/OOxw4fd0IFPo8zUxAw+OkT
WTtECUdgK5c4m3FsLjIji4939ahNtX4s3BZvpqbP/bNI44sknJ+8yFiCyk0/WwMkNsxdo4sNBt1k
U1t6imelJkCXJik+GCcuHzBXQa2j7ryNlLRV0R2cOOZqrKzmRYDle6NFJCSTX9gq6wwpoOCWUKB9
bGN2z/WGYJLpB7IR+H+blL5f9oz+yod42r6zT7OkgoOaKiTqRPpQA5gF4Zw9i52EXMohqIaewVVS
bfM0K/W3dC1zDZgJJcawVyW32AoWKzLG5QKb1bCWUwyrlXaskyjlwYDhOjEpBbbT0H9tAHgt26Ff
mwR9TpVwdnqlXacQ0G+r0Dt2ChDrKFRsxJR2KtoS0Kg2ZpvZIVbbkPuE9Nmfp649a9lEmBE5aTVz
M4SYPm5iNutEiJxOY7lrzc3XzOruEqnfgTHNbabHrrjW6my5tASbs7raRpUTfyJ6ELgdwNo2zGn9
xNpjldAS2igNzIorjFl63Fx6uhOs/E5z7HFbedyY3Joi36Yh31ErNC3d7qR3p1W4uM7aNIr4PES4
25IKt5rF+rmbtPLWGbkv4p9i99+sLL8vQPgZ6JLaJY7z7eAYyWruK/GxpeEGX0/CjVF6W11ihaL2
IoBB26yWyq2e7LCHHWJoXF9WBVa7oJ2RyL/7VfzF/PNvzzxFIWKV6/kOpzrTw4/HH8y3Uc98UBGm
HldbaEHmC5Q4Lxix9fzZIvrP+acmhf98/l3Ll89vzS/OP/7Ut/PvvQCGxd+fSx2dMefb+cfCh4kO
yozDlM1JxKn57fzzP8Bqs5SXxucxqfwvf51/yjVjMJSrB5tDdP5v5aGAM/x0/pERtQ1YpKSvYLJx
Av74MQFLM4hOuOO5mwZui132WA7zLfZ1HOV+dM6NOv3Mr1hBbMC6Z1dKlYilhXdcqb9qsb5lLSXY
dGroHvinsaohT7noUIBjX5uIwvNJuhhF++JW+DLCWlmGu/9l7zyW3MbWLf0qHXcOBcyG67jdA4Kg
y2QyvZsgpDTw3uPp+9upUpVKpdLpirjDGp3SSVFkksTGb9b61jgER7xRxTqq7C+9Ed9Yw/IQUXsw
8mE/q1fCm+Ce7lK7OhhVm/MvysWvW2yWTL/hudZjp/XYkfqI3fIMKNZhMI9j8dil7h3dAGPcNHxN
WmKh6HJVMZ0iWCyljfoGi9GVHqnqBpca0gpoppPOCJSi0VrZ+jSShQ5kKmS/CrfZqHsOdMFIYqy0
nRbRsUOvaUlg7hy/nyvDN9JgayH2WJVGzqFZidvG7WD9uOveMPweZcEK+V+MGWbeL1oivK6IHIbR
y73pviL9XDf6dCQm62AP3SOI3tirEoCggE5QTs6k3VgD3gRzmt8GtdwPmo2fX8GAr0b3ocYhj0Cf
+TJDFwYFuOeXXaLbpzG2LyTWKCybexyYX1h4ndllykRpWVuG7dWttofZeqXPLCdC07p2eIeCGK+R
UiKtz7KLRrjXVqx+SacFxIHqEpqhanLJM97lunhKaKk4W0ePQaTYVL1GhutknyH9u8UVVmC4VO/j
IcnwcmJvMYK7amou2EmchQ2M1jbLMNJBKhuU28pgaB1N151rbfDTP/ZK8oIOBcAL2n+vqRBULnKs
qrf1uz3PN2qP3J+kgiMf0/mY2IxLEEGJd8bBfqBLU1G/bCq7bNe6wO/G3tBKnBLJh71dEmLfmqJ8
NgoL0247w2SbPot+5PulsQ7JJZxn6MpzDLyvAd9ItzFy9I/kzWfWAQ7QrrS610ERUmRo3JptuA05
+lGO1Yilxg61CT4rKDPRqlHmZK1EPb4LMEroptL7pONNWoj8WZkR6BuR69edVflulRNBnxMMQFZ4
dSB6IbzQ+/J+ap9A2hpcc085EeDgyNHUhNxRsDchBpklCalx9wHkWPz+7bQVA6NktR+F19dagoYJ
aECsVO9sJjuXQW3dEVQSBcnsd3laL3fDR0KQCfOa7J4wSMVNERis1hiB3cciKX1BwhAxqssqmAXY
GwE+eWTd6CTcwgt3iz6KgCJ4H+tubLIDQyTbzwldZ8ZrPJWDmZAizeWWRXyl8YtZcJcbL6at8ZQ4
X4eOO904FXlIJSuPKVpe5b03rkNnDQ9uo5Ks1KegxBd47n4BYB1Pb8iAyL6YBCAJcpkW1XmIyWmK
HDNYdSQ3sVvexxDMGwa+2VReZnG/qWSaz0LmU1mx01RIgRJRAWaWXKhUkNswGxqUZzjiCak9JEi5
qbtrDEH1EoxfWkvcl6XxmKs23BnSp5IMB19dL4tcQN2bkRTcLSBrmLNfjAHxVcVIkFUaZecqyVb8
vzrCpATHemc+MSesVnpN4qiRvs/kYlWJfV/V8ZHC7kvTkriu5vbJIknL6kt1JeoIzFA9MoTtQsVT
A+2LOiXXDklcfHhEciXLuOpS+y4fkLkvmdF55uhEPlPGNWhKsXZNd8HMV6/Ljotp5tKziYlpI33f
hsB3AP5cI7ojREk7qATLBH13nsqkGep3lunYeFbBgKfRiPMMGoqTrEWuLX5AXI1CeMimdOtk0/Vu
jLAQ+75Mtxlkzo3OjHoJg8/KnJ9HBOEoMzYlbZpf8M0mNzNWL68ZWSq2oljlMxIdO6xfRoYo7LbU
yiPC5i52rDM0aS8xiFcv1NX8diqanVLod7be515Q8WlkdoAPM1XXTkB5ZY17O6+gp1j9rkq4O1Qd
mptRQLDI+K6xDqJsy9QQz0OD+5cRbRYWPu1Iu2mDrnWf9Rx597/QwK/5OHKw8auKqM8/t3+tiOSj
vq+ICPREXvJRvzhUJN9XRGhgiBzFnKOrshj5rSIS6icBexosELKV3/rIbyoYiIIu2mPX1CUpQwpk
/oEKBr3NjxURYhrM5rwKekw8Qj8UzkC2i8IIZu1kovBKd/EAEqZ26vSYBJknZI5NtDzQbXA9d9l2
DN0HQPPtKo9Qm5Xh1g0yku44Yhq6Id8omytrKLeuUMFRsQvKp70xteulh1SlPJVhyKHPKRaetMTF
TI1V2bNM6gdbY3actigH4P29kv7GyL8nqkwEzhOsINwqhgIqeuyeljLfjcR2rQ1zuCQ3zPBrGOb8
XD1bBpRmOqtbQYPAhZzdF0oPJaFR3+KqfR8X/dVRWJmVfRqRizHd5M7EETZhGZiVh2YRdEVLTUKe
5XjD4l4U1jyfKSKFNMp1NBXo9aeAGwLVL//RvtPXCP5i+9IMGtGdpY7+M4YDGoDWyyPyDRDnvqjp
IyliUQsBnbTU2MQTZUGcWAd216w5QmfhmanKchIrscFY35hHFq9G537WYtzSfjw17GWKIUKoB50G
aXdNpB28DjQklU8zPa5o9uWiAW856Wcpwouh0TxLkm/mEAYOChNoOEvWXA2SkNNXeHY5V3irsBOs
WknSiSRTJ5d0nby2HssF3g7RCqMvJIOnLPHAd/IWO0lCTyBZPZak9vDdFCtUIuo6AekTSbYP1FLU
xwhRj4Ek/4xu3x6icLC3k+QCsW4h876WtCAlMoKtlvbvuiQJ1VHde7WkC2lghgbQ3yvdceHzSwaR
RgroKpZcIqFab64kFfX4NX1kFPqKCMR9psIzKs0ku3SMMPVJecBprZAx52Lp2grJQkqH1tyigH/L
JScJITFeDclOsiVFiXeO24ckKzkwY1f6DG0pUIkXb3EZ07EyEzE+sEw41Elak6ymai5AD+HuWbUS
B9U5SnM2SrpTOMJ5ciNEW5VE5lVowH0+PIHP2nyPmXeuBKgoZKbGVmrqAUtJklTiVtRRACO+qDnS
dErvCMM4klcS9sjRrcQAkFGiqRJJqUoKNNtcc+GhSXQ8wwscQj/6QFtNknKF5r5J3jPE6TsgJvpV
ScGHb54UlS5YVCQwVBSNOt1mihaiQsqgZBtuimKrvsf/FXrqEnSrkqQqv40mNFHtkxLWD1lZUB45
LpOLnKCoIS8BLKrwvuw5udeK8jKp2/h5dlnr61EYIUZw0DtXrOwWYJ0Fig6TAAivLOx67/bWW5QN
zwyDNmPo4Fhzlfcx6aR8O37C2XJA6fUocWJblKaWl+WNPETcI2/Fvk/d95LrVJFThS53bmGrXtZa
dKhwzq6KprywVfGiW+7DkCnADZvpslsaZ+80za5c2pt2ce9Ijwh8taOeqfvGH5I5Bq0Vz1tDZ0uW
FBQ7Tl6cjcwqGie6DlX0+3aIjazPjPrMVJfPhDFK6pm+i8vokNrByTHGozIZ9XqmK+VKQa0Lx4aS
Js6KlUCl8yVxiIi00i7ZhcbAJl1AQ5woyA6WhcBLWCVMBzP/4rbw+HO1L9hR1pflqNxYbSvFvml8
CJFhEC0IfTudR4eXRMU3K521obi0SC4ew6ucDRFxj0hTPgBeixrQdskn7WTIWQKcY6tilLjOwCqs
HR0pCydMv20Ti4bInNxtJbTZXxIaN4wdGSeMPW8lCtYP2thgxZ8LOEYJ6u3GfGewtqxTsezRrJyI
bjwD8nNu9lPuG6Oqw5NAwm2oVbAh7DjeRLapbrMg0NZCLQGXWpMpqfTUZ/BKAxRFW92QxsSEVxvl
XLX6OMpkDgOLVER+8FxxSqkyzGws+E3NZjB30TCFuKs1a6skYNqSnKa2DvEtkm4twCuNv8U3/Dv8
kdTivy91wHgxDveyzz8j4siH/l7vkPOrOliRLdNlAC7H3L/XOzo/YuwM1obqBgLr7/WOwdgcy5Kh
Ylz6qJOYm3+rd6xPrLEMnUWzakj4/D9CIDJN+rHeAVVKxUXlZJo820d0wXebJVsLNWCcZnnSHUa8
NGIymnee0Y0QXapPobYfg3STGfO+yAsIXG4RPeWufciHeOO43RYG+YVNHmBCrNWicIiIHNFbYpfn
WWyXJwDJ97MqHh23omBv55lQExAlc3r7VUrTEYSShikJgIkNnYbczFWzJJXqI89AXeCYxAtqk3qx
RPGwdhcxbCO4s0QJOcgH1A7Rn+ZydaLB1EKEEmiVl6CMGZGY5a63RmAxJEVNDGtQUnGUUfabpERh
XhoG9W7QOqwtsz/qXbvuXJF6lso5hTvpBQFt5FXScFq7DH44O5gjTKOkmicvbuw6/hzgPQBamrKM
i/YYkIN9ViFjVvPJLwtF3aolsfOmqYznSH2JKRsAwQuCZOKaqHYl6zSvCZMTed2eKc/bcSHQ2+pv
m7jmgE/rO3xmp6rWgPgaSDWxxW6MOuhhEYCBLpSs8kah1h5xbfMqrftjVcH5SecSos6gbKsGok+h
4/QZrl1OObBrtIKkJe1so6aYTOPXQTOOYbFcLHo+YL0Bh90nzWPWKV7Ql/2K1cJ5j3ObGzcriBCD
lbJMnVemGCvbEkN31SUG2UvWHs3eVRrMgHtwG6zxwfq1yJ3NqJQvtc74TFdbgmWpnmrIOATY5xjS
taw/M4wFm5doz+qB70zQt5d1bHUrB12Qpw5z7wuYxW2B2y7pt3VtHG0zgjXrlopXo+nepVqxTitl
2yTKZTqV7XFJGe2bGEPQbFrXuqUf3SqTCsdh8kQubE9Ht8iCYGEiL7oWAZXKKnUM/DZsbyeXDfSQ
FMdQBM9zPcybTHG2YWtYa7NT70VdPycGpBmNBf9cEyjpxOEVRci5NuXrJZwu6tZ9bayxWudDy3vY
WvuwBiizWOZ517enuGxr5aoEG7W8zVOW7rDxrt20uqfMqymbyZGPF3Es+rQ6JJ37VKbqNdLuV6ea
vQaxTLWEm5Bqp2rHg9spm0bVScGKLuKyPExJe0GG5uVQIGas26jnttKDCgrM98VSepJ0RgPybx/Y
eMWLYbnRreWI3A77SRaPmzA2MS4aFs8LnjNrtqO9tD6JxtRSxmVjPrVURoCi3buCYWCWhGeN3qBd
7Mz9yKgirJbLftF3wYCDajb7Kw475rPIZ3WTwUvMAiSog0sDATMrP/LuIHeUfXxta7YXzOHNwoCQ
2ye3/4iRyUon+42PC5eVG2rGhi1KvDFSa8siBfdXhqFS1yMHQxiFmtLzzUG/D+4P++cqX/JLTEeP
tijey0Z9hezNVLvM7kGKn5saDJGJimmNpZ05QEPol51UXxxQe+duSkrhxARpVtXLvMy5GOxaO3HD
fiPBdPKRYLz1LYPu3Jqu6VKqvVEMz1qZb2qhPs6xDdCToCKSgNb5xPXiiFZQJoQPBXS7dToW7J3m
7RAgmKqaSzfOzlTAU0tLkLZZBxdQeMixstId5kn3AOP6zumDNc88eHAnbjXV1LeRyWBzqbXKr6Zk
8mtFP05cBpfQ16/Nud3h0GLalg1UoKigdEmSjksmMKbdrfldY0ZG+BFcbBJRzayvmxm6IfXwIQi+
h+5LDCCn7YzrlPeE+wAq3hAzdZc5l3mnbwgS4lMcUrGqAjnSXzDfj0Oyjeoa2WqSkb7YKa9Q9H3H
YfBkmiwXzfAiSnTgQX08nAlFK3w+0Hln6tP1RNaallfgHctYW6Ow3iEIc7hsm3A/If4PFGZ+hIHT
pEsKxrPaLjG+ERRmkwDMKqaNEsFSipm/E/vshZHVg2mSQ+qwfUn1iJT11tg2pg0ysa6PYYtOWNer
m96czoXaJh5EgG1fcNan1cVYVtm+0kasGNO1Opc+tpV5A/fyrKzdnaIp4220zP1m7PW31EXX19r2
VR6Bj12yxfA+yoh/6yk5zvn7euo6Ht6Qp77+RE8gH/itmtLEJwoVoQtHFcxo2Hp+K6Zk8rINY0JQ
zKDskJu2b+s08Ql3pwTIaCSuyXX/H8WU8UlgNCev5Wu4MiES/2B45P556SrVBDgKZKqRa1nMVawf
NSd6gQa0N3Bol3Vd2edKpsxA8pn+tLm6RmybntxeN1KE9wErLCSUy0bD7Wtz8UBAcOg9T31ZK/S6
k7I3zcI49jTu61FvizNSxPMbdjbjqZ9EdV7EXfnShd140PMxvRHaCPiiTPD9dJP9Fuix2JXCCTbE
9smor7orn1l8EfquDExem7FasZLbpro2rpesAOPMAvtdMeLlWm+tuPfcCMhdMWvZSnVc9tZWvZ70
hNNETfDhRHZ6med9cKszu7nuP9iramKmgFizDyrrUkUQWpuvuFaNEGZKR9GrKOWRxgsJdqVhg/Jq
2gBfm0ZzRhVpDiBYFnkwYS2LOOXcjOvkTkkkNbYeUgiyE7SqBlWxJMuaEjKLbdPYCwmeXXRdX9sL
FJNqPjhdRbiaFFWoQ+OaZ4PUW5AuifQilyoM4nsQZCi1FGfMcWEY21kjUXDGEOGuy0VcL1o72Dtd
ajxKxB5dktFOkwW3HE2sWXunduLhmsgybTM3ZsEhEPHFHI+5m82F8nWV/++JYKAx+/sT4ebzS4PO
qOjKnwyUeeS3I4E9uirntRIS9ZEp88eZwI8ci+37t5/wqG9nAnt0A3gyac78j27K7fu3Bsv5pDJo
hh9iOowmaM/+yZkAzeLHBovQKVu+OigY6JVMuYL/rsEykqFgwzONp4kQGU/0MXKMIUr8igyX3J66
TaukLYWJKYanMcnPKnI9thZNG3ugOJYFEmTCwtGuw9DyFYdrIZ8LW3Yqyhkk3s9moC9k83Zvo1W3
vo0pYFVlwY3RK9aRSEuCngajZiAy1Be0k34SRvddRFKEWsQg2JwDd/cDaIr3dJrvx4hdtEjJNcHy
oek7N2b17iZM3+IcyHySUQYCJMrWkyqARklyHtqHt8QWd6OlPKeD8jYOUb2W6FRvGmfAeGX+WudY
LlNVuei4/pk/FfifqYhWg2t9mSNco1jxNS9jCY5UgDqon8v7KC+vdCv0rRKrpD0LxqF9N/ghGRLh
MYz3VmVc162FMSt4W6TTrLi0NDxJRpNeFKyTlyl5yGtjFejBS1SYt4MJdU5N3udQVASG6leO7Juc
Hg/nELZ3dGHIBPuOxNksyqCoQvKoXaZXjTXf5Ji61509il3rqIlnZBGuwaJnOV3CS8wpO7w2gAPC
4Kldg5nepZFgI6AY256N9jX+Pp2zkwYymVkfazEwV7NUjGNTSwNJyaw4RV5/WJTmugSWuRIIi7f9
hC8HPe66MQhVEX1i7vrAndP7IlTs8Ki3S/4ARQE1WIYYirdvWLzJYGEwkK/lE6n53uI3mKLhFHUN
xp6PLVf3sfFqzCV+BVJgK+AIMncXCy3YmLi5AFfHk8c8EPuGPlOyirE85ose3zmYp5ounnaG5T6n
8ZQzBgXqN4pEXytVj4Jtdm7dYtwbuUnvGdCAAMveNZp2p/QMuHp1NPwpWAowEnB9cpHXK7tFz9oW
7rpWeS+JnTxOWF6JeYxtvMQ2qTl1Nl0WM5ILpx+rWxiVX1oUrGd2qg/YaqK3SmMeuwiyYWLApIpT
MqdVqc9yxdRYZnb9riFMe6djt7uprTo7DaVd3KY6zr5KiyNvENVt6XTrrrPY5PfcPOiEyGdACtAH
CoNPzJHAfGfsYC6YKaOZvBySh2/GmOkQyzrwJUkc72b18xRUXh2N984sKs8o1BlAF4jUULjsFSah
7EFRj8/E5YyYDOtgHTtdsYVukr6kCMx2Gd6w1VI7hAFE025YUJg0HeOOdbPAeGC01FyNhhacR5gq
js4wX7TcqSDPopi2y5grMx+azaQ6EwZeApoVZ6Fz1lJck+a0+P9WqJSMmO6p1351P5LgfllW/eR+
xCN/vx/BuXYt1pS2/lGJUr1+q1G5H1kC7Ra3A1wc+Pb/uB/h8ZeQa/X3JebvtyPrE+Z/NN2cgbxI
iVD6ByWqYTM5/JPi1XR1UwOobUq9K2tT+fPvbkdtP5vmkDrKhW3miZchKyJDY1VkFvM0Dc9ySrSU
Il3MCXZmOTqEq8MUbMTqPM54njPMz4t0QaONTDxoBuVKlx7pusYtHWObpna9h3T6XKn1caY6Q1Lp
nFfSaS2wXAdYr0Ms2Ln0Yodddk1RWdMCGy/oJ0nRwrcdGOqVq+LkHh18fE3SPKiT/T4Ja9okY3WT
6ySDkXviLylaiF6xFz9360fRk38ea0xfUjAqSVjhYy0VWKswTzSFkUaqcLIGyL7aHtruYo/x2gxK
7mf4C5V1MInnKhuU+YrdnTNsyA8ZGQKUbceJVCdqBUFDE1jhoCehVnU3ldaAW2nn3Nc5vvBrGf5g
Fji9leSyT+aOQSm0ohJ8Yq8mr51NTa4KpoAgdFdGd0Eggd6Skx7Mo+uxFkQDMZc39qSlKy3XnxMc
oyxNsM/hxQNXWA5nVtC2h1otvoABSJp1kUWEIKKT4pZs5UK/qj/GqOwU1mg8b9WI/CmbbS+sNlXe
rh8LUd6zQisR/E7lOXf/2VNs1y9s92SE1b5gjttq7TbHlZ4x353M4JFWCxVPyuy3ZFjRF0Ldayhz
8Ly2MwZMRsWBhdlLlV0wr+fBCbv4MCAlY0LB3NLRAuZgo5GfEOPfIlSDrFoxh4B1cSY+bLCddMSm
H+bY5sMoq43OcdHnK/r9FDNdy/ZZCsCaSr0J0e4F0nG7NMapxoKrYBKmBLgyE3sPhWKbDv0OzHe7
HjDvdk5+mlxQFZPOeBR7ryAJvKXriRKzB+2QPJj4gO0SYi23NqhNqOlwCjOxua1wDjc4iBucxHGH
8k9ai2kAKs+SduMF3/E0wBZGOqNvJjzJljQn85GTEdMnbwnLsqHhtSlzaPrMbuEk4m6eFnZ3uJ31
hpWxtD93fXZELXOdS2P0LC3ShiJu4n78Uiitn7e3Ta9pnlu7VyHe6orFVFEtB8gW96qbjOsEF3aL
Gxv4EctJlvxxmz7n0rCt2Oy/pIXbwMtNGhyURGnvrvF5u4FW+irR1Iu1XIw4wcFAPujczMpWWZc4
xXXH/EL8OSQM6SEPo9OIp7xuxvMIj3kmzeaqPm9qaT+PcZoH+NGTvLjopUGdzOwvg7SsGyPzNGli
N3CzZxl/DXf7KG3uY5PvCQU7H7rijL+5sGUwjIMtzfHph08eJ9+MgFC65yNsY/APrfApwVtfmAma
T+m2V9odKIGnFhf+6A4+eIptYjjPHS79vAfTVXJ3N7QeXrOBU7t6nKWxX5cl6CgIW8bz72g10yeJ
AWga4zGGCzC2jZdJUEDpiCsDcgAslitdogTmZTiaA3CBCcpAULA2dZuKmCR7GzvpA9Ot81Bt7+yi
UpmLMrCFWKBX2TFi90es0EOaixtyn+wV0UIvIudSU5sjnDKaASAI4cwUgKj7XaYTCA0ngS/JoZTg
hAiCQhuom0EiFXo4a7legzzHnjlAXSihLyguCc7sElf1qOzJpt+pcBo6kPI53IZxQLBHMtXEgqbL
lqtuSNG85zX5bc3ZVPGVdSjAclgQMNefU+iVojb3HayIVlQHlAt7Ul3uB1gSJkwJ5jEZy+pgM5iY
SaFOpGq11ySGYoFHEegwmuBTFBJU0UKsiMr0LIZgMUGyQPULJo1uXStr1UugXQj2RgX0CxAsZzE0
jH9rk6+1CbOmX9cm6/gt/FlpwgO/lSaa9YlVJOt/XZWCc41++FtpwvgMCZU0yJG1SV4bXeq3Vtn4
RFCaLFr+qFq+tcr6J+ocMv+gLdvOP61NfubGEUTCOYZhsw/VUCX8uTaJCeRpIxAFR+yQSBFM1jlh
5/WWmR7yGPIvq8lhsdHxgCHRwVcU83LTI6MO0XWeG0AVP6eRzCao4RmzrbEzTbsctbYKV8kwV2RK
DIV7Im90OYRGn8X7upv1W8iWirnXWrVRVq6rdKc8MIJDOlsqsQNpmmg3se1m4owkoax9cYvQGo+N
UTXmFUXNdgBW/AbjEBVVEffc7AVq9K0qJ0Pux5Coq+duLzKd+zmo/xQZpbQTLcKGqGvXkXqmS7tR
U9ekgBbQjfxocmsWPk3n9+ocn5ndDDk4WCpOCjdwP/ct/DxGAwEqU1twruPn6C8j3fyMw/EZ4MBL
YnEGYyTMvcoy36ouf7PcUqO3zmvxCosH+Al4hToc98WimpsuVfrn0QpJd9NVBg5j2msesha0JJzq
D5pCe+GmY/Ayxdawg26v7wmni84BXyPS1xrU5nU/7ZeqqrcCG6TX0L6s8rRAKuMg40FNwVge0T8f
brW28KC0YxuA2czPnN4lojVo7CNF6bJPBdOKWMfCLoimtNmTrpqQ/YFBcii+Iww3dpGuK8d9g6+s
bJ1h2WUaRypzve0coMFWWjarYQCNjyCzRxERqpeOy7CyLaIwNRcMAWEkXdSMF6nBKlONaB/dTMKO
8Sz6iVLpJzVM0xtsXcZ1YVnFW6KK5pDXcfEAWxAJc1y/FvOQnP17an09tZjC//rU2mAifInbl5+d
XDz428lF2LSOiMLBjW6T0S5VCt9OLt34pHGY/RYj+ZEx+e3kAgOvu7Zgmvv7o76dXGwLyKY2HUBn
/xwx+9cRn8OJBYJNBk7jZ+eFf99TmZmqOknQLKele6idYCUnCd+9MT+xc8l/4Q+fomOq/KuqA4pK
6K7OU/xwMjIEsKqpMrRTOymI3DdmFqO0ex2G3a+f58+/yV+fR244vusOS0Wr6gae0MlkMak156P9
+usnkPS7X/4mP/SfIepFXSZKn/TJJlX3zka8xhTDVViNDD6yYK8dnqp+18eXHehaLX4jpS0ML/Xy
qituQir4rj6zzNB3oIaGApTuzcjSdYLa/utXKu+Gv3ylPw5uYyXA3SDfC8Mnvw3Z4UM/INjTxGmU
ggp0EPH8bkNjrPlPx4q/bgJfpv8dvhGPkc1hWfyvos8vS9R+7f/5r4+E8h8/dMxZpsVeBoCyTEX4
/sMgdljrBtWeT5w4kN41t8nOU8zbaNwqUVeemzCF3CcOSN6phcs/XmuI91HhEaUxqMriNWZN6Vux
diFfSD2MTMSabZZD2TcOY6AyddaVRLubjDzZGqkLjzUAA18kid9Yzb6ie9SHeqN1My3VvI2W02DF
PhGYK7mjgsG6bWDO5volKA3gxI8tjiWEFG3oHI0ugxZqrQfMhjopGoiPPHtBspZU69S8hT1bY0ai
+WadE8+a14OvstXcH6vdXD+2CQNdxaC0Lc60TlwlyTGZ8u2Aj/8uN4HeGotBJvFtJ6y1QNaSSNGb
GYcCAkNNoJCDJq9MsyespKs8x3bpmkG7TkPxHyAQUsf+3VeEsohz57sLX/xwuYwxDstuapeTujV2
wX457x6MLaCoU7vSzrsd93Ef5Ks3bwzvwH1kU66nJ2WPhmWrbq0jwU1ffQd//5X50+v56+X7wwJS
ZFlv5/IrW6b7ElHVuG7aFXhR9T8cR/Kr/+M38/vj6IcDz4nzJYtoCU8K2Wm302sdkmDqIfMm4PA/
XIV/fou//krfXwSM076/CFxeV2O4sX6KGEkh81n3uEjo5VDvoEo6sTb89RP+7AREVUdIneMSu/mx
4/3uBMyR6Nt2ZuinMWkZ1X4ZlMtfP8HPDsDvn+CH947BC/GOoa6f2mEtJf2j4jGj+Q+/xX96kh9O
WXdy0UUwbzy5w9lSHzrrVreef/17/OyW9P3v8cPxOHOvxkBt6ie48Pg8kd1bKM0u3Gj6+rv8T+8/
j/FLU7ble/ff8l9+Kau5ITKv+79//mP79c+cwJJn8Kc/+B9sg6v+rZmv39o+46FfLzz5N/9/f/gb
IeF2riAkfH7N44KhZ9fEL53+17GxNJf8sjxCYrr63Hz5uciUB38rj8Ds06AJ9Ae4ZL6mwf5eHqno
InQVuSgTX8Fq/Y/GzvykAVHAcWO5PxL40UWgZECRTyv2FVT77c347cbF+/i3p9KfLylOSbw5GJbZ
gNPckfb9w6lkRChoujkXF1H+vLQX0/T03dvy2/N9f6P8iYgVBxCtownBAcu0af9wSPRgN2G+Tf0F
6Dsfnc87N8iLLGD31nTvHVhypsig4QQLPU0p9tihd02d+L0NqMlSrHJbwkot7IbJN4j9PtqItnpV
QHCudPe8N9n7tF06rpYoO2mDZqbnxtDVxinMW0baMiks5E0koYNN58YA404CjWrup6gN3kfQCoaR
R9YajQeIIBFnr7WeBSvCTgD2YVOhnguVxwRhG32WeOmjKd90GiEDIo3qMw3fAWmPzsmubAVVbPNI
3K3hQ4mJVpUQ42UyYRQ09LLbaA0JQZB2z4Ymfk51/dxEEuG6+Qxsdah3WVHuiqJbEIPVt4GZMY6M
jw4bJRrT4llR8clpYnpnfo4bXCovIeRt6GfXYdXd2NySFcY+Rs3+T1V2RdUfukqlfevnqyl1Dsky
UY9BAsUZcqht+3OgDbgUbdT9roKfM/7cgWhAOoXjw3R2GdJXBeMjI3PSyvSnNg0JGLF3eW2eiwLY
WqMPx4xYESs3GP/WO2tGaFYK9z4hvI6ouOyyCbjFtUt01sXqU1XrUvqfHISkYWWM0fXFoHVcGKlC
vPaidor83on3cwY00UxMk+QW+BV1TBSElT73wmUl3uADCelBiw4oY1gcJgSqrhgeRGl4kEIvrNZ6
arvllMYk9eQUoH2Q04UPx2hs9iVOpZC1M0RIxJLuuMsG5qZ6dgNVB8Rtkj2wmrvXAvvBCvpN2VgH
ZzGZYjfPlujAqnZQ/4z2qeSXZ2I2bRWcXykJUOgwvSYw10Y6nVcjRVpfh4hpZvTZndOC7rcBnFr2
M1cBSZDJUxiQfjy1XbJR+p6vTf0+l8nO6Ug7N6rnvlGfFAXaH/l6qxT71jC5nmpmX5Y0uMJ1u8DK
C8/TpEm3Wkjyn1Bs1G+uV1d95KHATFZqjilDI0BZIVGdwGfbPDpTWxxishRYBoMlNq2bxBWPfdWG
G/h2GIErefUk442qgWzriaTT6xGVYI3wU9HM68mBUtkTvXA2hGq6miyj9d2sGsgzigN/bInu6HTY
f0QXqCR7rt06cL7gtR/8CI8LYXMVGsN13gxB6+WzEsxyqhpfTE1sndcVZEGXt2JlpFXoEdgF7zMr
o7WIEDJmvaL63cK+vuiC9LpET8LwolfPmJ2snGjWaTeas66bTpWo2n2B9mqlGRLfodftDmlZ4odx
f25pIcPPtCq2GnHzwbQgSp90wuxEVvllV5cIj+LsZKPwIpRHaa/QaIfe/2PvPLbrRrYt+yvvB5AD
3nRxvKUXTQeDMoT3LoCvrxnMzCuKqSJHjleNatyeMiUSxwARO/Zea64gqL5Z8/SlCYxnJ623rG90
SbR84RElSwKDcgxSXQXxr1l+alv0LrIyvymtXuFRdYLsvk+L63FoxgWOxgszJpgK4meTmEvD0fpl
WRUHp3ZYEDVetDNeFb0RAq+REmiyTutgi3uH0ISEQK3uiIkOiSkhlJl6DwNwYfTyxBBkm0Kk4G8Y
xbWxzHMNbGpyFVaKGTtfq1HRF8ASWvIs6jG/TbV8XA9MSAzG0guDiTbKqDldzXHcnGY3PRt6tYVL
cqXVTPoyGI0ip6/DDG7JkrfTST2DG8jhI5sgoUL9z/V80ZN/ki3bpo9W09jlHmtOvx9Vu3wqzI4x
Way8oHlWl1OPg4HLMTWvbPMC+X2DvCt1hu2QRMOmwJmwYemP7oOaK+h9dlvksMc4eHn7HgTLHmUz
4hEL+T1qQnxVMCrN0rm16jLhT4mJ+hcUAQGKAXqJtL61g+nWLaz5YQ6KmKylsl1b5LH5DmTebnJR
4asgs7HvEznKD/rNYPUPTQwVRrhTPC/QXiMXNqNuaw4FX/GINIiQq+WUl4/2wEyO6C4GTKu+LcH9
Ofu0nu5UpENDjMinrKK7PtNv3b72DmISA1GFzAXLIJsWVZ+MfqWqj8g1jKUhzPqhtyuAsCWezTTi
RidFBGl2YDzozAhuAt0Sa3TQ3iKh6bj6eHt+V4uSjkeFoVFqeMDrAJvQu3lbwet5Ds8pTIpzl8II
FvPOssersWnXH1/mfWfhr+ug9rKgOvHYvy8COmfOU1rB5zzLTq2t37EqgczNn1guEQ1OnmS4ZttB
VOvMTbetHsE60n1s9QdWqiNHRDqs6VUU9Nd2ra6MiAA+cB5FGPwoexvzKI+AObtnWw2fP37pv/2E
CKV2ILxZgCMpFd9+Qlbel3HnpcV5BOoRTrdSYhmVnxxW37FeJJ7SQf5KqBK6WSKwnXffAxk51ZSn
/XCuQgzLhEXvDHoZYN1r9o1hAKGhDA8KhomrwuMeJJ1zdEfO+lPFQsVMfk7ydaRgXqR9490U7Ep9
OYCkRiLKZJ+tXE8I8CrDc6zEexEwKh11nhs7Hzn3w5K4Rgj1nHbZQkPJv5kRvAStZq+iLE5XaWd8
U8iqB2TVL1iVbLhQnrYoa7ygEQowtiJKm8jewW36gW30WYDz6C3QAcLJThM6ed9xJmWramNygniU
+7NAnEYDJYb4DilEi8MvQa/lt/VosX9o2AFyINKtXXVbWxtX0FkXSOvR/ydOusLycsEEpViKmc6C
ZmTHQH3uzXVvOTvWxUdXYUbnYKaZEvMxM5oI8y1u0MoGDKWoy9mk9BA8ZhAOSM8RSr5tutzyc03s
acY8p7EefcO+sFHtOl86WXTSS5ojRluvwRYTxoxCPrftDFkf8a72LA61037SKtB+ez/wQEpMFG1Q
AjF/vetgfJUFf9edUfo9G1gXlnM1ZGdbqekZtNETonlaCG200GyB2eUVc5Od+FSwvTIA3UKuOnU4
IvCRn6zSfQCdEa1bxtnrvldJL7Z0oh5j5ALoKUBjl2a+pbdPhpQWS0i2Qj3CQgTSvsAGXt+EOdoz
ENOEORI+DOajZuBdr+185txnPyNrAQKmlQ7saf3O1idq5wnXe6ctcYrSaSEtBdOJ/YBdHcua/p2I
E5KrRpYBLyNiW9wGXnJ0hmZRExFl4ymdBf7VSb+xhuGUJtFNHVvXZF9t7Kl7cFOcDtSN6squAUpH
9bBqe4R6rnQ3G+hFVBTWS8zZzwr3xKLyjEfNUB60aKiXdUd3KnIY3s4kMiqiXGlms1Ghw3kE9eqI
PtiNlmbaqQvXHQ8ODJtRG+gYYeniVHprjNXZc8WuRR6NbfRbjXa5cEhSnnidPZanIb0oI3F0Cns9
lhDyHYIFYiShuhdf4YdKdzAWVyUSDTsjOr2ioCntkHMJD+OgeFdj3b3EjiITlqUeFZRH1+N8a8Ep
MW3TNLIh8E7EBi06VwvzlRnOWM2oUNOeqQ9IllQb74nClpnnl6DD/TACz5sqh5xdPBpDTNbZ41AR
/AfzztuZ5lLT2DWzYATMDdO7yYneVOoEiLaySUb3MCeMwrwYkZEWSrwai+6sa+tEwyI9upcQ7LZh
0WElr4+F1L92XabA+pa9wszZm+F4qF5FRNKsjpdbW4yQUqMK/3HLKSGz0fHlq7J3ZCTGpW2tHDKK
Rveci7U9rUtziyvqvlLJ+M7Vk03GMUJF85hEI7TxIAgORMM5ixaM1sLBbg6/CsYIdcMWoUG7JAtk
2wxUIU6JncYBUDAEjfbJ1vau3fa6cr95Ul/bkG96UnrkTTji0/5ss+8P7Slntibw+QTjRdqcgPR9
0j36VSP2507x9nrvdlI9YrJa5KwMZflDc74P4nrwjkX4gAL2k41P7jlvGomv70xChoEmI5I2Lbkz
vnlnY9uBhlEHMmO1CdVQDPk6DnSJVyp3UUn7NhUDwWKA8kpN1U7o7i3fTkpmqQnK3ZHfS5Sr8oLQ
+0oUhusPRv9FicsLgmtuMso3Tj2LrtVvRAhcu+jCNTylpyIx75Uoq67DnjByK4qIp7T6gwXknMJi
NcFzWlDibYrOcO6ZMN1UgOvppOx7A8qQoTMKnnZW5V2MKU44tm3Suw+pjmmtV2QO2EJU2n1eNas4
C3awwxAPCUKwrfx5VokXz8bwsUbbBYk7YMTcGuEnn+qv/ZY/v763H+q7DmNqmwUANlecXfEUzV8n
9xOe7me//93GoSoZNXKYTufYvakSz6+Nu09ui4/vCvvd/UcPNlVTPZzOln6JONnnY1Kj6ZPO8rv+
5V+3novYQbM1y7Xf3XrCaceoJZDk7JEH133rxpya5C4Wziffxite+Oc9/tr+QoZpaWy1HqWp9u5C
UxLjzp8r/UwZ841NbXmbrYMlzCQ/Xtz7hX+/g41+/HodL6IvYvUMbPkrT3S7NXYff6q67LP9fCH/
eKzfc5C9IfYqDyPvuVsPS3WhrsRNv8mvorW3kozRtbbhc15jS/YhoKy8ZTWszHPx7eNXYf3uVby9
O9+1prOgzVydJLnzg9jpK8fv1t6l41+0ph8tN/fW4mgv8413jtZiW9xY21vkHRuxZd3z500JP25J
62zpLZVjvy027UWEadQPl19Kvz+ri2lj7bxdeRi3zV2+vvn4pb+jxf7zwXpXQSt6G2eVEnNf+qVf
rdsf1bq61ZbAwZbBMlqSErfO9+Xm8ttx1e+sBQf2ZI9/Yp+c4S8sghWo1u/B4svHr+p1DPj+a33z
gb5HfcZxOTSOzauKdp4fLeZtvgluC6TfC4gkUDB8Eqv8bOOe663+RCNt9fH15e37z8v/fI7erTYs
NQpJo5M4q3O5csbxMCvpeejV8pNNSa4qH13n3arjgncbhpkULWpqfxi/qWI74h+Bd6Si/KjWH7+r
369x/3lX7w+TSs7ib9VJf8bpxsnvugqv/ncXeHfmM4SL4JUYsjOBn3pCH9Bzlh9f4ZMvxpEP4pu9
Vckrt3AmHrSyOiOMWVf6wwyU8OOLfPY5vVvcWo3I9MFJurOQ38pMWLz492RytB3mz6/i3Q3Ww6jp
izafziM2/ph4uhTTR/7JVO6Tu8t5tyrZQahMNOfYDYS9ML1ilWbdhUGOCdHoi2TUzwMu9o8/ut9+
PxIKgiLPkCF+v34/ZAEaQRV3/dnMX5pkTb4VTb7Nx9f47dfz5hrvHpoMELNSR6Y4WwkRpepVnn/S
VfjsAu+WxDnNhZGU9XBWWbRpRqdG9snH9Lo/fvTgv7uPo5ihT5BxH3M28JH27YdteuKIwEh9Ea3C
i97P/9Rj/V8HVlj8Pl5r5Lt+8+ho9P+0To/Yox5oDBPytMBC7gM4etaO827wL2GA8xe+tcoXmu9e
Kf51t5K7+uVjfWnsObWD3llhAtgWi2jz2cv77Ub+5omw3985cTOqhHx1Z+1CbuSKj+vW3BXawk83
5vK+8PdwtQ8v6lcOZ83ddBj98ZPVC876x5/Qu+99UFo7qr2JWmJJ/O+S5GLd9r1Dtrz2zvYR59vy
kWhbv6Bju2421cZdKJ+s0J+9hFeS35svSRG9YhZj1Z2VQ+mLJZ3N5Lu1hr196H+IbbXKj85G2Sgv
4aOxEJv0IlwmPz5+ut7pP/4uCH4uTe/uk3QwwJcU3JqYr9akGfixrOp26eKWaLHdjuArfz53uX9P
/uMyX1cb5xIV+7JfRTsyiZ6yxSevRxbG/3hUfj7uFiPit/etq3jMhgqWlHplbuwNedtiPa/nY3zQ
/G+kWa7ThburtjT1jmLh3K0Q/PAVdZt0fRMvZZHwV3Hw/3p2v/lRykyB9tdZ/f/Po3uDZ+7D0f3/
7Mvnuo+Lf0795Y/+PbiHD/66AcALkJZj6cb6z+Be+0OeShjn0zg3cYv9HNy7fxjIK3XHUAnQwfPM
bfBT12i62l+/TDZ6/51ZTC6tP+8nji6yMWjaNtZlQ7WRAvx6PzkuMCNhTs3FpIAHAAtCVDt47cJN
dnYfFRexiYopcqIzbZMNzn3rqp5SaAGhem0E5nXa9D9KlUaeENGOFvMhcrQ1R/Qjw+mFMpARV2hH
t9CWsw7udTDFV0BNR3ZheqF9foYCsQ5C59hGyrqclCssn3fOVNxbaHfdoEYFzOycJhGe+11KnzVS
FElGM3aWG30h1nChmOrVlGbnnmRSoh/PQlqMPVtgf5g3VkOjKA7vLObBCu9olTXjVy/uTgHsv64x
nowQeXfX7YvAXneGdxjM+hxE0dkrQQrOJtCR6tyTxWWU9Qm/zz3tjW1EsqKHsVhJQV9pyRlB5Wro
sbi28zJSh0cvbi+jqD+F47QYSndjEnFGtuS50UHYeS8tYZmrnNwz0ir7/ey5z8EIXsU275Nk2Cmt
txyslkzoGbpbQmtv9u2quZnaqfUDEV+ElrNNHUJLE/vOavPtPLXXudt9LXSBO7Y4g2Q4Dna+teZ+
nzfTtqfT64TVC8QXMuIJsAy8nRGa107EjBA06LZz2PzMbKTv6Ci+NuFSCdJnozSvvcpeRARiMEB1
LnqlO4a6pCANu2Ymd85RrhNP7DQ1+MLQDcOfsbILWEg1cXuBDHaMArVeSENK7GYjROWa7NEJ4k0Z
28/OgD+wqsXGrSyMyKLCoYSOPB/F1wIBLoCwBnn/qp28ETV96zbJFuxFtOvKpkkuzHkWJASThGhs
hgaPu6fh9Bukm1raqsu6z3zFra7Tsqv2hc2gs5U2bGasxolMt2E5TNCEMhGXOPiIP4T5kFzrmg4q
Q0Vkibs7KTRyIem3r3hL86LQ53mhSTt4UjkkdkiLeC/N4sTlWmRkTjexOdXgxTinBgap77O0maOA
1AnAaO/cplNXqY3WMsGVHrsTWTgJqhHs6p6i3yr410vXWOIrvph1a23ib6/bdETYjqcN87tkRkEI
vFcwdSWnRprk+bfY5SsMBgYO+lg66cv8y4ixmiN925Fvh90eMxFz8Mr8GhJADAwJU37V1v2yNb1z
LANRHZF8Z2xOuKQJeXmQtv5Ud3+ElfdUTPqdhe+f1w/rs1TbxSShAEaF8AFQYbW0CnrNVYpKdgCd
D1FqabjxxQBdwM3HL6aYXnpH3SfQB4ieZ8apEBYKlyCeiQvMs/qMmr9e5xJeoEuMQQnPoKgiZmNe
2q70aDCWvYnWZdSKhxE8yLKt8+9KKVHvYoRcgHRjnaRiFyjZJlFxcXnzACiX9GSC/i5i1fkKJvGr
MAcS5AUULiyqGNvxTDlRtg0ZTSBPILO1AsNYG/omKPWHjkhOutISn2/t4pABRW/HD1No8MsV81sc
MMixofQCYviq9M2y1UGLiEAlETu4N7CuLyYPBLze03InFBI6g74wu6b356a6jfBILtVEUvdsvncR
BA8GEFfMsoHD/WWsaxnN6Hkjj2icTpzreSyb0SUm0DBeclUXkKVC5kbM3OIUCNeY1zvSV21e27Cv
3PZC5HDtprmnx23A7FLPUTd8KVR1340uacKK58GLnzAwquKYRurNGHYHq4hutclRfcK5l0WTDL5r
jsbSFsox7l0NOEx610TgmGJcncvMqbL+JorSYt2MbRgtlDLACFkz5VCSIdqZUAxAnJpQ+xiMExbN
QLWoYgZMebkWvb5v0wlHTYvJQxPZFU2Nv/TU/61F5PHl41rk2Mft/1x8jdvqdz4LfvzvegQhISo9
S3M9XXWBn1DQvqlHDLBLVB6eCn9SpVb422dBEL3Hz7j8hYu7zOOn/q5HTGiVDj9GpfKXr+ydcPBf
CQld0ukxqZk6vw/3pyx/31T8jQ4qwZBYRCIs/VY/xOZnkw/iQH4peWRJ7xpQYUjOwb/rvtpJ3l4j
10oVaCDtLDKmd1irvLUg4rNZO7k4CUPYIwEIU7vh/iVCVakwgWuda93oxBKAqyTJ4uQ0jodSKAzq
U98obr3Ie8OuT7atqIKhJfnzMOA0bOstbMuyGlUUMVGer8ioVDdC1Mjqyd1djbStNzxf7HTliD7f
xmJaDPZlAkxpU6UApfoSHEqshBlZm02JfKfIyQm8KZo5eskTJGzGnymXLtxm5FSv6Zdexn+ttAqi
/yoyc9W4IXkCNy/7bX3VAaoFP8mJAVEWk8vowai0QyQiOsIZK1DqQdMe6g02/ePY2whdOuXcR8MX
KzVua6+9acguDovhi23lBY6IGtZfbB7rxlyFZn0kI5pEqTDdaQ1qrVDYhxHtADUmc5uw3MAeUVEj
kHKBOgmr72OVJKBEM4fo+bK+QMuVbNnnj73gYGunE0EBxJmYAbIcN9PgJ5cZqgVvNWFW9zsk49hD
DKSUQlgbkO7zoZ6qwxAoG5Gn2w4s4SbPrGYZG/OC9vyqHuMTE0y8HgaZ8xR3m3ludkETX0dWzT5S
WMUyZLjazNhSQkJUilY0qyZCkNV0h8gAtKtMqv1tGlL2w4ZJJtiitai4VYUWr0zAMBQeBXTIYCeq
+jQypfG1hE0pxROHkmxI/DCxbixzKn0kO4SLF4iCiFeAnh6Y2NWm7lTbgwJ3p9mRgzzBXlV/mHb/
nXwsd8OgMz8YXg7mIEqt+Koq3ByXsxlbZCRjwHU0Ze9hZ9wAsfmWKiBLbYg8mnPX4aXLosD23amh
OoPCZ9DlyN2roSjWHoCXpIGQSepqbo/pljTzjTt2+rI2+OCtwtm26nCvzR0dcZQVJKA8QfA6lWpn
+HEj9pijLmd+6aDhz3YjfzY1kOvKs95qPxRF7EDoHI1A2XrOFxE8le68J1LZXVtJuGoc666e6aWw
WQ9UM30HONIkb9bSp8swSLSFoac0uFPvMQv1RwOMBmAz7eiZMENH86KOtqiOo0U0g5a05nrtRMot
oqA7k7GfCPESWFF4aQ4gHcDIA5ke4kOHc4IzGWFng/alUqJb183vlApRQjGuZa2sO2Jfe8peCBWC
fWLvMW5uMjtja3XaJYoa6AK92V2bY7Ln/cmp4hO7PeoVA8+WV4JX0I0qOeemSLcoQ/THcnSdh9Yt
wZaKaQrucilEFIGDNk5kGsz5AJFk3EXL+k/pIjDnqJt6tH5ITUYpcRwqKz735gwzI3vVQPavesjw
VRtZS5mkKwWTs5RORpb9RaE6WQ2oKoOoClYkFgx+Z3otNzO6FcCr2QHxGglCunXdqSqaFinWDAdk
mxr6TUKsb3Ip6EwAJ1LgIfJMUXvaiD755pd1TwiHIwWhLiebUyBFomJmp0/t8qsZkgRnk2DDIwf3
wrRuVSkybZMp3YToThMpQJ2kErUrv/YoUxMUqm6ioxVCsxrYfMtoWJEykRmXIOvrXpxmvMgsDEgh
ohTfGLNHPenXgNyeODL6/atAVsNJCv8W61hbgPEG2dCip52mmFQXZ5XU+vfc7gRnDvjbxfA4gOK3
pOBhjvuntiPjCK1unY5rHe2uhobX6jmESlEvze4bkU3HArVvV0PiUMbkPoymXYweeBDiNKAPDqVQ
WM3s6w7lMJilR4GSuExMGKHD/YjCWBsJSXbmYT2YnG4EKmS+DYJv0qdZypM9dMq4nIgbkNLlDg0z
w2x8wlLWnCC1JX2OT1BKnsPCua2HeN8ZdrdoUUWzE3BiQyatxMUlBWG3LZPw3pJSakAEWwttNcsN
5HhxMqToGqjl0UWF3aDG1jrr0asGgHzlonLTCwPVNjgDv5Uy7lxPnxVXWVpjvO0z4mjqPnhWUX6b
Wr2MpRScufneRBveSpF4Yrb7BNV4Y9lPASrygRO+2Q03geksQdXMa5hnJQrZ6FJFgR5IKfqEJl01
wQzrqNQ91Oo1qnWmMvDV0bEPUtDuSmk7ukNiJvRjj+bdDsqDKkXwupTDF7mqoRhHIg91BymAlM2n
6OcLNUKWrLoXqpTWj0VdH1opt++k8J4si2+xlOLXUpQ/Vjb3ixTqT1DbfUOK94WU8euviv5x0k8M
kYOXN/XZ5Z/9lbd+hn8OBv7U6VGFAKAjCe7XMkdLLS3Pi0A5J8mdnX5Jva+mtfnfXeJd43LiLrZT
GFdntSYdkhN8dSGST0Yqci7zs3kkKyn5Nmxp/9AMgEjv3oZOOFs+enF4oSIAdB3MsaSn3yJs/vit
yE7z+8sQUa1jfIT1R7vs108rLJPJcNKBOQA8kZpzZ6tLtONdb16Og+bbLQcf608FxH+PErLg/+Ao
Ef9ofsu756f+PkG8Jh5q5G5LxNSfvck3Jwg6irQt0UDgY5ZC4L9PEN4fDhgoBxI+gmTjlxMEYYhk
HkuVomPwJWP9/hcniN/gGLlV6MRBd8TYpGPX/vV2mY0oj/QyVi84ymDizWfKeO2pDL+DRp0tqs/G
Lo6xO0g8q6cfx4r/3xCrZ2vFRU/qKHvoddazL7QzFZkiNm0aPRSNtQH4em0U7qny6g6by6Nmmxgf
BGRSJz10Fts5gkocDWFPIF5xi3cXepWnZou6BkOvxtUjgNKlbekHi3AJQume52imQJwfdFPhECG6
fWSBUBaJs0jneNv27GpJMT9oobMdyRulsdBdCid6hMhzN7vl0UvqB2xeORA4/UUZC0A+/RcU+lhG
emvdeMp6dubL2EsdLCXVpvKSfjF6BVrPzvaNwEWVF4y7jk4YEFpyCwmPcWrA4+1AtF3ufqlHXUCB
n5zd3KeaPwbmIVEzVvtR2RKShucAGdK2VyhUTbQe2uCznl6PVX89dXlzl1nTc1ZBorbh3oWReq/m
1sFVS7gVqjiFaWXRIMPzZCXFthvA8Ym+P5hmuwNnUeK5tvaT9p0a+SkM+rvJtWCP45jyZxfOnoqK
NoMYnznmD8PBy84adWcT1ocxyxxoDAfrriUJl/xLe6WKaZu00wY15qoa4mPf8pmFYWZC0goTNL0p
h6nm3ImOjODAScpNZ8WWoFaMJ+rZSu12pUvyQOd4RBDoHSVOXaoNxovXxKL2Nb0oG+oRUr6ld0v7
Nd9IvGYd5XqJ1jozIWGD0oZ76EExqsnSJCqpkJlJ5BfoS4PERLmp8aeRmm9uv2EhguWd1i/YxxFL
UyWh2JvpndBXCS30/XM1HRzDOSuR7i46veJ3qATuKdFDJszHwiXpaRDDDV1CkpRkCpRZW98TYqH0
SfyYu2byBwKjQpsQKCKUT2j04Ghx5m5kuhSxgsYK2AfxmTJ5yku3ZtQ8uqnVrYFYZeSru49TB7qj
MjmLkTryvXV1SZkbBXdO5y0LmXSlysyrLFTO4WM2LAvCsAp6jib5WBY5WTpFvJXOB7soNklZXQ1G
QtFDslZlIhW1ydri0EJqjAcUXLXvA0ljsfg/LurUcK6vYvK6JlNpj2P7WFgWHfJJKQ+K48zxkl8l
fNVJl4odKT5Ka19RIvwojYC2NPKNcyy7BkMa7tIoOsx2caZNtxdF9QJhGlQUnUN1zaij+fa6nP53
XzGZH3+wr/wZpgII5p/TMvmT/9lb5EiMxg8ob/ysNIPedKd0MnPZQkAkgvPG8fpzb3FAh9ivs1oC
TqSs9Wd3iiwVhly6S9KAiquUoN1/s7e8qlV/liKv4zKsLDxwbC7Mxox3YhgvUBBau251UTA+gOxt
N9gYgb9moriPG4Mg06TRqE/gsWYpSYaz1e1qS3sZSMXwyzwf9yP0IxDVGGU6td+GZbhCd4z1rylh
ERZotWUEUeIkX8eggUgId8gfClBeWTcUK4c2AEqoybvEiHpnNWDr6tGYYNzPR3RAd3T6SZqM74PE
uCWDo7hwJKCvlKi+XkL7VPoU+xyOX2ASG5Z63hVRHMKnOfsDgmK/DnVI+AVIfBuAX1KJaa2KYqW0
4roGni8kRZ8u0XkAq0+7Z2NJzv4AcD93mhtiT2m2T+WplUz+sDM2qepFZO223ybJ7ScKb1g5kuVv
APUP4/oGcuqalE0yt83Gb5sm3g0EAWha5CxGMaLHkRleM0NtIYMDBKFwMkpAIFJfZo1kCs/XwWvc
gAwecGQEQRYDFcxJJfCqeO/JmIKEvIKZ3IJEBhjENcci8gg240y4QS1jDhQZeKDJ6IOeiO+eLARD
hiJgOsAiJs+TnXHN1Ads73edFAWHX9fLWIVYBixEWvscAU0EDgz00CSFIZFxDBz+8evaYCRlVANL
f7ywSW9wSXGgp1he1rl2qmXAg4ofBcujTLPlHt4AOL81Mbos0sFbuiREVDIqgiAURn5MdmxSJFQZ
J+ES1xOQL9GW3eVI3kSXETJF/kQpgyg0K773TKIpChlSEci4Co/cipn8iqmeHpgTrckHeTJlwEVu
DNeDjLzQyL7gymIlSMMYZCwGVGfDr7UJ8zGRGQHZGZ4M0RiM5qsmYzWwXOtMSQr7KVJyZ1U7vWet
pqJlX5txzhHayjihOoeD4uyrsGyvRFuy5zpT2BE7WkEXoT9L8ok77gfL8N3AWTeV2HYGyZ+WAeU5
aB49EyofLtitmVZcgkkUe9m2GdFr9RYfsRsGGyWP5jujKjXf1JkHG5Vz49b2odOmH1lUp0uOWtdZ
EIUHex5Wcz6c9YjpqZcg/7LpbmF++Z7Mlcdo0fkOFiL0DRe+pDV4LbTE9gpfJx9xcwpS1V3SiKj2
pUOiDeYKv07peUKS5w53AZCKiZ8QA0T9MZxwNgQvWRVc4k/syVbtVEZjfbmwe7b6YM4OtV6oqxlz
0DbssdTiqHWCYj8mertEHf+YkCDHptV1x8hUcJcDqfmhqkF6W6pmhevYpfGhZRGH2//uTq+YKpOj
6Qe7U/Tcds+/2Zn4qTc7E0ceiM8A3lXPsTkL/+fUY/yBJxnrHX+DivENWc/U/gA0z6YktyfVfR2p
/DU3IfAU1CbuzFcww78VcljvhErsTKYpz1fskBa6EaY7v556dHnxKquzS5V1y7dM5peaOX6hkR9u
ulq5qCLafGSsnNKMmr6Z3G09karnkoPA7NzFACmbMN6tmUK1LTQgO5PhVX4bsnK7xtbN+rXdBSsC
/rYjeUp5jhlrpIvCUfCxtTrSN0e8OXStWkH8jJOcpq7/4VDQjUgDOgVX+aRVLHvmN5shSDh5MW64
kkDqOO+3SdVsG887tPSES2bgs56sgHFHvmYNRxsmkDMO51HHrzk1ZgynSH/OqM8YIj2gubDWThD0
DDhw/zZYDzkK0IY27XaPjmRYu0F16HT6z0aySqPkJhiYzguDuKqhElcFzF+/dav1aOfqNufFHQwH
8QqHDB7MQit81rcLz8i+E+JZbSYdy1wcpgajgOC2yUoe814s1WJUWEySU2qKchnDtCMDs8oWUeWA
RRLlxMrnrjhkccLrmDKM2V1nNQrguYJsnPIqapgSFK6313CN+1j2Tl6h39bEPOmduIoxQK962fyl
38Jk1X3RFDmM0IsrEQEJMF3vMUm0a1TarEsBDjpSG/PFZBu3cx4/pkW9HDPW89jlIGjE8ZGQuENS
qy8cce0tXAeQpnE/rchsxQsZGFd9F91HCa8/nFC0zyxzC7syt71NO7gqDBN4LbqfJEWwki3HsPHN
GH/41GmEo8VcR4VWNQVeQUUTPZAUcC0aUyxKt8IIbvSbMERyXRfd5HfYRpcjYYZYQjk0aHlqbvKy
vyhLl/5rwPfeklOmiRomQfWo9fGxS+JjE3vxTgGZsbBsNkZTx7DotZO+gMjf+UlXbQKjPENRPOL4
cyhZmDmHbXxWk/KxTup4XWfMS/q4WQrCwG1OxD6eL8wb2bCtNfVS19tFZY0Sfgi4Mex3bVHd9cqw
KdsC+Gm5hlTtMWiPSUhoB4+s6ZF4qwyDuqsOD7R0f7QD8qdEbMa4mug415lf2NLhzbuanMuyHrtF
6g03bpqtO3VfIyEcToESryfVgzBRXGhWcakP2Pet+ULpmXoME6RjWTr2PdlnZTSTwoYX3qa+4QaN
g4WtcDKqPQ6ABb8Ub1e1gHSQ04HvsVuowwsHq3QpcoNDayUf1bT9Khj7j6WLOkj0eMvrhIg2z9sQ
q7KLNJrFMwTfBrirEftu4cGrUATlqjCCBUa8ce0pLuFdzFZCEXX7MkgTFB3m996iod5H6ffSGB7q
uf8GiTvBrYihNjTGy6knxQ6gI3qJzu5QYesDYJW+0JuDHmbdgbVHJhJXqKJEjYSmyLudVeSJvTYY
elh3g5q67iYi0GLTm2hpMA0WRIQ6oplJEQiFtnILxSTcYdANd4uWboK8YRCIcIY5PPU3nppr3c3o
NYpx6EWPk8SCbP1AGLI+XKRdtS1Dir8qmbJVaabmOo6t0K8JQNWa8LoFL77oUrE3zaJfN0qDhkmx
D5YjYI0zbAdjYH+ry7Jl5GfD303Mh1QhXDkamP1p6mzvjZKbOS1ovfDPEfFa5VMVmM8Av/Vl58Jg
AanwgpQIPAP4b7LcRmZX6oDztQNSM6XiNFXtUsQeevJKOZlFc6UE/SF3y6chHoEnwzER6DxajVlr
WFnZojXEnoGFpY6MM5zqOU7La1si4TudfFQDGCNVLuAOPTkHrXdUkukxi/SXWVP5LaH1kg45QpJ4
qcx7OgdExf8f9s5rt5EkTdu30pjzFNKbg11gaeUoryqpThIsSZ3e+7z6/wlK6pZKrJqtoYDlDzTn
YDCjUpIKRnzxmdcYDBG98ioS/pGyLzPEmvXIQPvWSo5ilDj6bA0d6shHinjaS6DtC8SCJ2zGM9OK
0HsxHCoRSboEoKDOOssYZ0HfrGDOnThG705ZhfzQSjHEq5gxLjW9Jbbj6QGB1JqPEPyZmEo3dTQb
De+rWlbQOhGvABtITWVHTsebg7pxIudQG2GYj7iy0FQJGBjafXae9Hk3t7LuNLdrpAFscFCeYp0H
XbrChgxPk9w9d5jbVklFblavTacb5hgiXw9UPmSQVGeuwwWCWvWt22Du3NB2wyLzOJQiPmMz3qHW
gLxQY+rsAUwaEN6VpmVWP1WOc0uAXsg5In+JX9Mo1A6B1t8y0FlKgdVPkUY5op67aEGvOUb2PeCi
Y6wrn+kyY1GDc9diQgkMUymnhlweeVLLlVB33kQ1QCb5UXTkGPTxWi+dhrZaLCsj6KaBXiFn01yQ
iSxStf7SJgC2ooLUukF6ZGj0fh7JSTvHM6dAn8gFU+3xU4tShUYWqhqSpCxNDPmOahZ0in7vuZxX
IQ3/+rhJKQULE0O7qr9FfkhmNs8lSMhaSMHoLaVOOYlxa5kOHbk1RkrxiaeoF6ZSY4hdgRutUzk5
GlVMr2Hi4h2MAeY0tDQ4xcGF34RfJDljlJPiBUqQI8AZ3eGYqBwJw75Q0aEFpgeyysz6BzQRv0Lo
wW/EeoCe/9Cb8iKv8PaOvDucOsxZrQVHbpLfyZl9qOnldWerJxC9GTEP0VSO/RO17NYePabGUp+c
CAnhJrgcFQtcVi1fp7oI4pIBlLH0p/+k3c9pN/2RX6TdCNYHQ9ZsSbz5vTeJNwKMDPnASpNhCw3N
N4m3peBs+zJSEH2fl3GDrh6AYiIfJ1+jlbQRRfs78XaEFS8gI10Gmg0i+zdaQphGkVi/awnp9KmY
awgRNZOP8kPijZ4Nw+rSzC76UuaAtXqHB7gOLUDvDtEfgjM14JKEPQ4DCSxKTuQ4Iak0Ays6wi4q
uwsSt1rR9sJ0UNOK65DAcWj0TXXWRW7+mNdCfyqmZ+3H1kD3QmGmnTtSRxOJJPCiKpP6vAgRqZBk
E4EwdF5sxDyUeDambnoWebnzaEv+FX6kxrmngBBRPb9bjshv39b2YNCXpXfTqUazqivfAmWdZsXE
aqRooRi4NKGFUU98rVKfECWK7ww5Tg89A5hymrvVusWmb+7LdjC3SqdbWiEWdaCF8suOAjvGMwDj
US+ftXgM4EQgpXr7kIEc1E+U1B0HJHSyqEFPqW6kJ91zQv8M/fumIIWt0vLc8kkXLU/p/Ws/dIjy
XYPCzkgQsroz26ETN5E9nQYSPu4ALNCpbBErmhlkEcGJKaWky+h1D9/DVi3w8MDRA1Gp/t7sYm09
SJaRgX8y0wXOkswZGlC8dZeNa2GijCiGGsjIETBsCDzFWbp5631nJwVTOR3HtVv545MZ9HelVCxS
LziWLHo4iUJO0xmYB0h5h0aQrTTDMgJnQcirh9Mo64HNIgJDvy3JwPAEnRegplFrKPy3CYl1VHzV
rYAWm6PcagTow1xiduvLXTsxABEfmmFlXttInxzVUu3cYr9iniElLs8YMTgyjp5GduNWMiyMNna+
S1YnHWtxbU3yPjlHrlyalXULjlSinzfv4qKoZ70bgA2XsupoyN30iuoXEDVZyjePuDcbHSu87Unr
Tq1QD1fwzMJ7xM2yaTcKgEU0Zvdj00snbF7wrha+haFXunf2mHS3aVjSKcv64FoK+vzCb+NymqIj
FM9SXW8rMAY6uHmsBWsKRqOaeaD5rakH/BtPPsIvajx6jHFE32mXdFltbNAzU3nKs3xcFAE4bYfY
PgHbavzTAlGeYzEdi1/E4ixep1ugozq/9SYS01xHHsRCwOiHwa96wHAJQqOO+CPdB/r2r4NfGwcB
RyHLYdyK/pFgubxCR/Hho6UP0lNDxkFIW/5WJLbf4wRogWBgwBTZgjhDGLZkAVd4Ax7V7SQsyWmG
c7v2ygtsv5OrQMmtuyzW1eOhi6L7QamthV238or2pwubtfVpmLbjF8vp6mtfzmIggQrRw8ncuSXV
JQSAwgdbJZ/Fse+sWuHQZQivLtTl+f0WE9MZWuA20zy6lxIFfK/iWVTVKH6hNRQBG5cZbqWdO5MH
QDQl3n/fEt/3jrOC2a8u1eGMViAmPgwVaG4MXxy1mPoiQrmJdQwC0yZISt1JKlzJyqxDFkQ4lfWx
fB5peJc1QRRNHbOIJj7GZjSdkYJxtBo4ZziK/DYMn/JB6XSktUG8jKMnqCD3fu+5cEFaLF6wos7I
6vowjY7U0elAJlnqhad4d3I0HAeNVi70PL00cPeYB3ItLWvTG49Hr9GOfV+25rEWnygICh0FQJpm
CO7ryyhO9Xmrqi66SwySqZ/Qi0xyrKGy9nIsQ5yu4yrG2MkYJ5KBLH8Erl/1nLNQI/S2A6sjNdxZ
QZdrM8z30ERHRHM2WF1+VPjVMZScb8zicYGLITYwGgrnqEcd+14x1lOcGvw5aWc5i6VIXrimchjq
EmLTpTftjXaZ1JErcPL5us28cNXX+hNUHlD8sgc+yaDN29EAi0Lv2tSsy8TyNBRK+qXaxl9UhqLO
qe7UQAhUrOYK5SJT7S+yV1m0L3AvxhK+JwpPrAKpLcgRtHAjEAKt7q2qioLcSpOTSlOeDCNrEKbq
rlvmQEyL2mgaySnm1ol8bnnOYZpky1YzTsPeWYEeXvpKAy8g9pSp6ZoXjIIXoxecJ2NQT8w6WTg6
omKjMawMyuE8km4BYXD/9zqOUg0/adxviVp+1zqQW45vP/QWcqjGcFtgiQ0VIYcsmFeI7qSIUp4V
EfOIqaqZzYNuC+iaZgBodLP+1Om48xlBBdGpYgI0QFqJsid3XG1mKWV/6plqcPRPYvwcjElVfxGM
6zXj8XjdVFtSY37zr4AsHzAoxTLAUE1Q8e88E5QDXQxJdXrMwraFrPTvgCwjVqJi6UIf09z86DUg
WweEYosJN6guBHdpcv9GaoxLzI+pMVwBmY9g2woEATLx9wEZ+KAWlX2cnTe0EcdVqOZGeKbocqjO
6zqJLzAAaespGO0zIy8uGramTnI6L9XkplVw00yU5LRQy/t4yI7jKr0KkmBWSyrg6dBd2Yaxyns6
yKnVLT2t9VBCj07Jlr6OYfoEDa+fZK1adVNQqZeGhw9zgjenjwpbA450purIhcZ1uCL5RI7URlJS
a1PlO3r5E8y/vHiBpK6tHEHeLINjUMi1t4wUiZmRjKtpgN2TFoJMlui6T4SSoxVYybKwnGMzRp/y
RnNrRoJu0oXNzHFIeU/LMKjuw86l4QupWF20TRuO07oJT6wqNTHqc4yKzgQqZzNnQ3mLUqsF77ah
wiWUQN4EcMX3Bt+cSRenXy3BncPnFZcUwaaDVpe7OOVYHUy7UHDuuB5WXD/FVAXhOskh5hWji+4L
/fjMxZwO6p5Ujkc1VL6WxkfadkcM22YtVL++M9AVN7FPhQRYxiqd5WCdA66ACyhNsrpZobVFcg6B
0BZMwtJRrtpGOjKhGKZucWYLGLVWThKpO8Tw65je+iFsiVPPQbsRqmKTld9lqIsObCwVKiO9UGDL
1qGreOcm3nOTIs6vY8iPVhrM4lxedpAiy5o+Tg/EBrJkIigDkCcdu0LTEzYlrCcVvfg/U+zPdOiW
GrRLWptLPYe6l1UrF1qmE9X3JTRNq7FnObRNBA7Pxiw5t0GGM0w+Syv8X6F5jniittA+dXzP+C7p
BdLrhBYauhjoQRMdNWPRQBsNjXCZm/I31QgXIKpWuVZ/9zJ4puKr9yxmKaUyDRJlaUNIRf+tFmgw
CKX+bCjCs9JU4dJy347SrQGlNQYrA9cyI4InRxWkV/RQJg4kWKa59H3irwxTbjPZx4FMWri5cQqX
Z6FCopXDlkbwoJx20Gvxwa6nDoTbCOKtCwGXkdG09GFvQswlFT/pIOpmFYACuABPpaUi/NVflYLT
63qtcWlB8w3MDr6vq+PZoybnZYyuXRLF0IIDNdPgCFPQToy+OJdN47RT2FKNox/FDJKnhdlxA1XO
4+ChFtMnjD61UyvwLvuiNmc9GKQWtsdMK4pvdTiw/TRzlufusi/aYSFp7jd62qvO6f2FnTQ3WBLN
NUmzJpFeQwrMRtgUUYq2baJbU8mnHZq3UgpbUFm5un6ll+DrJYatk7DnG6e4uAhzaVnpOFnSyzrM
/UiaSpUVLopeWdVhs4xcAEjAkmWmDHN2B9+WSgLlNNVF4SJHlerViapxCfpDdRIneKi5CIMX0lJh
eJSYxVmuqgHGmckDbBu+jFGaqV2Fc587sFi1eWnE9lFWh9oM8o42SSNcRNyxrxkNNNNMZj6v+kaI
knF+inYwg44aCoaa3dWWjkylmgBjS8azRoG3GgWPplaE8EvUQzeHNdIL4+Y0bK/MVP0CKelYMtDl
k5p4AVk6ZwzTrZARAOOlEwGgjGAmkqfNTC3cZsJUoliEzXCaAeuYmFpwHkXFbWs2MH79/sYzDfa7
AnNPgrMNMNyNWRoQJ6Dvy/DWaZN0im80HlWG1J2OqPCe+IYZ/dMUey7EDO7in9/9N028Lp8+3vvi
t17vfazcQI3D0aPQURxDe4OSgt4H8hVmn7Hxn33TEtPMA5xMqI5kQ34dU7/e+9D7qNnoraEAgFia
rvzOva/aAmH7tiVmYn7LNc5noPEGZ5Bu3ttCjEgvF+SwzdkYZ+i3wrGgukf7JqIZIbdwuMpYTPeC
6ZC5q6DEVtZQumpapu0FevtHFjCrSUUfB1OxYlZJwQmd4NVgUT9lanAty9Fjy0QE/mkLJVvqElQf
1VU2Cg6IbHrTpBL4LPlrRyNDrfQ7p/C4yXxHX7iCc+tI4yLWJQk+mA/mEi6w5UnQavPwi2Gn3/Ih
u219uGVZXaGLa5pfyqI+SgF41Y701U1hpQGn17Rg1Ub+KQjRb1VmJ5PAsS4YMz3EjmfPE/4wgD+4
lgHpRCwmu08GVJchOzBNr2k3F3EHuaG7HVREBL26W+j6WM/UUEOXsAti4Lj2Y+HDV0ZD6rSq45su
HVH2wG7UiOyrLHAei8q5CAwgmypzfBphYT13O/pieUvhlj64dXbvFliQZOkD7VVnSo/SmzdpB5vL
Si5oCx4GfoXktfctVqEP5bGNbqsZxZMuzx46xaGJj81mMpTITBMDkcROnAX5GnL5inVaV5R0uotk
JIVGkJeLIesWctkde45zKFhFuGr+GejhE2Y1NxpEPEj2d4k3QoIWzTu+JEcuQf92uA+rcljgoF2Y
lybKl77T/8lVmM1IrZaZ7MrTpsSnBQr0V90zrvQaJ2I7iG50T/2zUc32aAjEryMYvtC15i6RYNVl
PjmZYXJJw0J0mzpcAgC9z/QwWqh5AwTIkGFRWwCzocBMZMpDc4wWsoUCMb2sZVH7GDJEcKaanG8t
qVXk1w0TRjqz7QLqmokL8tKt8pPATYpjoUmN/QRKCUY3XlmI/nYpCUKhF1N9dEFVRzCz5bqnIzhW
aKI27DiD5tzUHtnEQ8V3mKi5N+/K8Rq+J++a2nCd2oUrN9ejrR0HHXADS40ZiBWuN/NicGmw5R7q
rL+zsbPG/S7/LitZOUkzd1p2fQ8GOjikRgP7J/mHciqFM8mK0qksZ4jfyktFxswHzqhzSAI54OJq
PyVhccp8rJ0w2snnKO8fmd4wzNQG2KGX9LdZYRxjBMpgrGaQa5LqVI3DPVMqJprZ+XiR9KZ6oqcR
kso0hLyjWHV8bRZF3VfVRm1+XkqVH3xhGdz6XK0tr5ubgaEtTDeR0xsLWdxsptf5qOHSGwtJYjux
LnAhDCh4C2hDWtF790iaz6uYLTQR1n9nOeryYW2S/YE6lrn/fMvxrv1CFgxKo7+E0nrsekWAMb1F
PT1p7Hic9bZZFUeoE8CHLAK4PlP6VnEyqwYNnlZ8mWVmX+DvqKl3USfLwSrGCYM4E/tgD03rQfbw
AKaoGErQ2MDvHCQqIt0o5kGgWt6NXFtxda+6rcdIUhtJ9go5Md1vEDZ9fSVjDixNYqdv8n+uy5fr
8peElS9PiB1tY6wYbxgrin1gaoIKYskKLFibOvR1hLS5LwV9ydAdStS3jBX9APNrRNR13YFDselp
vt6X2gGGCqpJz1JGOlv86DfqZHEbvr0t8efhGkegFIlcA59VUUW/aVv2suS1ZZlyW4qLgb4KLBKg
OslzY/unkmfKhif1wxuBhNZ1uFoyRvT6D9eyAoS4MEM9P5Mbw7nFekYyp4kVD+MhFbwBLrdOG/0I
9t94je0xSCBTQZbGtrz7PAuxoAO0daJYYlJBldpf+IN2pQ1Zy5R48KzqpI3CSvvWEshtMJNF24KC
RLy6xQ94YuLNjt9WXCnzIM8zdZ51cQOSVYLkOwkqN71D9cKZG3Sc5FmVPhix3p1Zeh6f6w3z8qmS
RzFKzm6vTeO2mUixsOWxgi7TzuVWwa6njcPzsoaymuRIJ/vOhabITwYeP2nhLRiK3FjQCVM8gAxh
BqSCJgJHHcwdaCJOAqYlOXIHNFy0iBZDhZ1QPBR/+rZ/NWIzpGA31GjtdSy0sju9DO+tiHmPEFpd
SVZeItdimMdxQLMObZP5OKoox0mS9qceVoBXXcQ40rpArqyFnRLEEgZGmKCDdzqrUqqFUbXbmReM
6rJOrdtBke7QNS5miHkDqK5rT4W8o6F07EHLnJOMBXMghzyiVhdKZJa3pV5r/cy0U/+qAm87b+jG
QSKS8UeN0Qy1dBUl7ypCskSXStBIwKYLTFqPfQkpozep6sXzXnrLa1Q5ZD/uZYGCRMOBTFNkp+/3
cjGUhefhpn6Gv/kaUJRyPV5bE0Bp0/owpbxHAdabM9Cc01mfGMf6QptTz0z/rTma6Cz9vdWhAqDH
S0rrmIZIdjETfv85MBnoGqRrsjNX9Y6HGBfYCDcUxOJ1euJW5MyL1gW7pJpcaFjXrzyrdI8VviMz
KgDOWahE4uKLc8T4re4zZ1GpLjoDdb5w7fGbZeATEboQdijmvtKqsMgii2FqVVR6Pcr0AMoB8hh+
PwdDuUTDBpIzQjM6xqGj4RyOGkAHVV3qWEJOChy9SR71KVXVIc7yswxswgRNrXnXeacqyGvQQsDe
W/jVSRJWMw7xWdc72rLwUFVHW/rW67JDUBCrprdlCsR8KUdsNMspgGHJ4fWvv2JBtny3snhMmNiU
Ei/pOWo/uuc5I4PUPHHLM7nFU5JAEPPHYzcsBf7cyKCE6cW/M8/Yrob45j1/+Dalnhl1G3nVWeFp
97gJwxPzstlYWYd60qyyghaEZ2JCZMGvMmL6LIaeDqcjdjJoXBmnWWDfyQGzY1oUf3JXL/CmXKmZ
eSm744PhFd+SDr+CIi3yf1x/X+5kvoGfl7D3zfctYGqD33ktYFVFwDOAS2DrayobL/LXC5kfsa9k
FPE0jCve0XwcfuJA7LSQ1Xhpd79eyDYiezb4bH5Eq1mn7P2NCxnBm3ebfDNJZFRpinIZoXMmnu/D
R1yXtdxnvXxeh9kdOFZjaUaadKJibDWhMs8Zh3HmYH44Z32EKVcGMQUVev24zAywpCkQv0B3jNOy
BMev2xHOUZ25bLvmOrb7fFWOEq0rWZ/U9oPSRvJMTTpmd6ijjWZ35Lj2IrByeZZTNzXCcjV1hmSK
4Nhtl5aHeuCnN0RZhNPy/MHEXSFr8ttS0fMp3TauWq94iAcnmmWVnkIP6g77vO9RY8j89FLW7KUS
6vqFpJknLsjXed3J7jTpJPTKEW1BjKVgwFSvrcZ7cBMbRYQBpoKHt/oREFAscjPpqo7t+MKBATJJ
TLpAuKNgtTZY1sxFx27qSSBpU3e4AJmBeoqjPVaBeYnCypldB1A4/OguULWbOnPymRSqT3lk9Ljv
ercllUbAILEByjpJRuXQLZxHiv0Urp6PpRRYbRkUAgoRSeqdhKNzo8DMQfYDYZJSlW9yK1QnI19C
7ef1NHZdPNBrTNObCnM/q7oDP0K8xD0CFBm4V12+sGNdwZsuuAwceORSghvO8TCgzkAH7U8ZPqAM
L9Aeg5NWEAW1sLoCiltOekMG3lMm1dSCVxiaMR2EPJ5ZI9COQpIAsKSOauFJW8dVBO2nTOZBWtnn
jpoPyzi11UlropMDzwrN2fJJLVp54oyWdyk1kYwkhfHgMBI8Kwb1z5g5nQlhmQGlH6rOWewzxgRz
Rx8xQosFx4FokVKgHHvIEfpJSUEW2+edlAHIN8GEeEOG3R/dxEqhD1GqZwAoUuRfcMytA+4ZpclS
QPa4dPQtV5DSfDNz/0sURc20bPDLUf2U/ATZjcpjceM0zCZ2xbgcWqziZt8TGDi0J/VjPZUuFTv/
U/fxsvL7ZVP09jQlO5nKdakdmXFxlJvJcV8bmI1o54MSnVOtC292EMtyFn6VO/fWSKTqsI5wjPcl
67asPQzJFPXUzcmnJLtBD6VIhICZfJUM9bHcBcsiCq+CwJubTXzfyeV3JvMZWjhQGoaqPbPLqJmV
4PW4TtOVYbO4hi4dt7GGdKrMhd44QwQr1TqFiPXAXa/Nqnr4mmsqoC0F5feKajSrR/zA8N6K3FGm
Dy+fdXH33Wet56aWu9PUDAraUvmdluYrJ6vmpp0tQhBTJA/uQy2jKVPSmJLirpgyeM0YLTeYeUUF
cnE4xaWD8Vh3xqorYGUkdnhauKU6DfKEkTApQuhX3+ywOEEt4laJxi8KxnJ8PoiFOrS5zkGWMkWW
T21m3th2uB5FK7ug/m9G+apytG9D7eTngKTiaQAS91iKBukoS1DQS0GUtREcPKBXfh5d2WZqTPOE
NvZE19zqyLV4ylj6xmFi6XP8JJtZqEnxUZKol6Gsov0EGo7+ScUIP7OiKTrnYEntuJ2qnnUegvbm
4yHX5PoxRkkeIynIGugSyg8wTl70w/8/INW+fMSt/rF/6Z6Jn24swG+yDyaz/6t/9HqXbX/QbxnS
Glx1727uzQfbWOL+8jnxukao/BHLW4hLkIwQ/QBD+fz61x9xBsrt+ceSoqoHQCEVMJt8pbyoAXjH
Nyv1s7X49Z959VTRBPr1v/nln0CnIKiHo8f/+tdzEvPywZ4L6L+W9neWQkOml3G5TFH94xrIyF1s
xCec/V6DH2cRv70dNAYOCt83BLTn3UAp9n47QOk2BIBXiPnt5Ub4IInyHy0COSvUP33zdQvpxPeL
IB/wQ6DINvUor31dCoGZ2zE8KAeWKP5VBj+bFwXk+6XQD+g9aZapPu+9/+PA8HbSBnKP5ttv//38
gX9FRw0tAnY7kPPngy++6Xd/Pg1HGDW0+uDYbV57eSjEWf4PVoJv9N1S0FFl21O1bV4fdgIXBQgl
dsJergFl4M6ngejIF20wpWXuKl5ihd5dlkLwAuIuuNk9XQTRJv7tI/FuI8CCxk2D/vbrRmBrvV8E
lcreQIN+bxdBdAh2WwRyBYSvaCb87J4kMNCztAzDeh54/B/HRb7BDwnT8xbdLWGCQ68yVfnZcZAP
aAo55BPPR28PF2Hn48BOoEHuoIKGVKp4fciYVAHDtA0mVXsaEwSSc8fjABoFpAmR8SdVhDgOKEGj
BvS84Hu4E57P6S7HwSEVYrMTFH5yOwgam41IxEsQ3sNF4FLfcSfYBxZSgZhjP58GkXi8vx2opQSe
yDbMzSrta+4sxKB2XAr1gBEwHupCQuTdGoD4QiUUsXKUEzevfQ0Mu2eN1JOoHeFWzQ3wbg3oK8Da
hID5AqDbv8OgPG/NXSICO4Bv3wCF9xwRfiwkFeOARImwSdtBvPb1MCg7J0z0mcRwSAdn8eNG0DkM
CiBHkBf7fBgELnPHgKAB9JQR1n3+sjdf97szQVxg0s3Qy3o+ePt3JsQwd7dFoHzQnQ2Y1Hz+uj/s
B/nAAHWgO8q+1lDKc4W7S2BAyBDSpSojd/m66d/vBJvo6JgmUJ09vRu03fMlDj7pELcgI1vx+hAd
6b44AI/39jQIiezdTgMwbtsAWIN0+PaNwAAd3WOZyLmvJZQYp++2CNwNdFWQtXqeMHzcCGhUm/xY
UOD29DS8xKpdQoJB7N803l9uB66b9yHB2RSa4Cv2dRGEit1uO4EGmwMWhOrhpY780GTEf5GdAHF9
X+tIkezvuAgaWSMFEgIpzzFhS/kAD1QGuLW3+eLul4N5wEann6z/JDCKzjs/Yw61r8fhpdWxS0zg
yFM7WDKy95vXh36zClLKUFCK3Nvb4fnb2WUR9AOm0+hNvO6ED8fBPlB1jdGtEJ/gtbeHYvfIYB7Q
b6Vitl46TD/eEcLMwaTZyDRqTy9KffdFsDj48LQN82eHQsARxY4Q4lKE4j2sonYPj+x5ZgtMoF/S
xh8vSsKjigkHg6p93QkvW3SXyABxUliDGOBLN68fIwM9JuiUZI2iKb+XO8HYvYIQ7FHKJHgtm+j3
YURNTADKoCB1vK/1tLp73mihj4HqEFPJ7YvAcXBMNP7REXreKnu6H15QNbscCjGj5m+0EGfavD7c
EdCdQN+j77GviZMge+2YQoNKAZ+jIVG1PTKI8Ij4lWy+zL728I7YvclEN1HGeOOvS+JDeKTuxvea
vOkZ57SvidNLwbvboVDREGNDvCROP7aaBIVBYS4HDWZfI8Pu8yjzAHWhDcvxOTJsWQR41GBX9hfC
87xFd9gJYg5BYUnS8NJ+/jFxImeg5wiF1NzX46Dt3HAD1obdDWwdEsTX6/Bdr4lFwLMZkI8QgdrL
xEmMkXa8I0ih4erqdBB+chwAtNF0RHv4ORTv3x0hDI12XgQiApRooerxfgsA87KoqZnN7ekW0HZv
LZA7Ewl0bAp/sgUU9gg9KMfZb6Cv+nxMd4iLwJgoFkXb8aWM2HI5MK0iZUJqbvPa012B2s2uZ4K8
iW4SPbeX6Pghb1IOiJwK2cK+NqG13ZNHhF6RDqSX9FIwfbgnxRxX/IeZhXjtbZR4Lv13ORoG94Bq
kh5yZ778qe9DJeMphjZwIvb1tny5xndZhE2FDYH2dVD5YT9wW6ocCuflAO7fbanv3mbQRVok+kk/
hzliAQVdCpDfXgfJ51bQDvuBPBpoMyA2VFg2ry2jCRBuMgZa+1pRffC4/H2iEP14C24cRpTPX/eH
mwLEJ11Y2PH7uggf5Ov+k0UAwCHYgT9pQG56LeLCfGl27mFk+JRiwiB5EtX15sV1+P6OYCegSYSl
3L7uBH33dNo+eJEafokJH3LIDSIWIQbBsNzLslLINe1YUdF/RZ0KVsTLHfEhJiCJAeKHouI3dsL/
4sz8xT2e+kH8uKEm40y2IcA+k23/7T94ZeN+fMAb8siGVffuX94M+dPzs58pJuJ///f6EUPaWVDV
ZfBQq5sZ3Jufvs7kNu/08vsvf+LHN3/3Zq9/1+v/eYjF/bp8QIhgwwd++aBn6wRu8//E/Nfj+kfq
i+iOv/5/4r3/61/vP+ybHfDrp+dB+vT6oDdEZNKMv//U//ThyfoxK18f9ObhxJWdHz5BznjbB+cK
3/nZ03W8bvlKqtdnvfnshIPdn5/FTfXhK6U6J6J8wsPTulz/Mc22+oeKFsnObzF7iv84y8qt6088
2Pn58/iPWVayeV6f9Wb9CfA7P39RPlXbnEXEHGXnhy/jpzR9fc6bD/4Zx/WwSb5n8WP98fEC3L7z
Rz9K8qcyWMevj/r70wsawe6PT4ct36gAIu/86JOncsuaC0Dj7o8OUm9LIFA+46yerqMtMUxgrnb+
2KfrqnratiafcUBPs+qP/0m9p/hp28p8xhFdrR8JwK/r8GYjfsYRXa3LYNvSfMYRFc/Os23RXSAE
dv5aV0/pY/YQbIteYuz+Cc8vH54eXx/097oLZYTdH57x2V+f8+bZn3FMV9nWNfmMU8qj66fyadjy
yT/jpJ6t8y0bXXQcdl7ws6d2/TF3xPjqM47oebkmBLx+yjdf52cc0Yt4/fC0JXcU3cmdl+UibpJt
yZ3Afu/88KuA1LEKHresjGBf7fz86/VDSUmQ1lvuUtEy/4Q3SP+YPCHSve0NPuOoXq/FG5Tpunzc
GsgEK+dT/opZ8ORt+yM+49SKP2LBCXgIqodt7/EZx1e8x3G2Lpptt5WYHH7KKp02QfXH+fegyrf9
HZ9xmMXfsVrXT9ue/xnnmefX6z8m6/L7elvOIHrmn7FSvMcUJ4wtwVqMCz7rHcpmfH3Y3zFVtHl3
fwN/vbUm1D/lUNPD2Lo0n3KYf23Lu+ma7NAFuf6V0+TuD0+zZNue+ZTz++9s2Xb+9KLNsuUeFj3G
nTfkzZO/3rY0QhFw94eT4yOu9/qkv8+SUADf/em/8sTZddFvGhpEyba+nJg+7PzZf21QsOuHv8dZ
/vVDvln0z7hzf6Hi/OtPva0t+xen4mOz9lXXcduvve9Fi3/xED+ty//+fwAAAP//</cx:binary>
              </cx:geoCache>
            </cx:geography>
          </cx:layoutPr>
          <cx:valueColors>
            <cx:minColor>
              <a:schemeClr val="bg1"/>
            </cx:minColor>
            <cx:maxColor>
              <a:srgbClr val="00B050"/>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emf"/><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chart" Target="../charts/chart7.xml"/><Relationship Id="rId4" Type="http://schemas.openxmlformats.org/officeDocument/2006/relationships/chart" Target="../charts/chart3.xml"/><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131</xdr:row>
      <xdr:rowOff>0</xdr:rowOff>
    </xdr:from>
    <xdr:to>
      <xdr:col>10</xdr:col>
      <xdr:colOff>330200</xdr:colOff>
      <xdr:row>145</xdr:row>
      <xdr:rowOff>165100</xdr:rowOff>
    </xdr:to>
    <xdr:graphicFrame macro="">
      <xdr:nvGraphicFramePr>
        <xdr:cNvPr id="2" name="Chart 1">
          <a:extLst>
            <a:ext uri="{FF2B5EF4-FFF2-40B4-BE49-F238E27FC236}">
              <a16:creationId xmlns:a16="http://schemas.microsoft.com/office/drawing/2014/main" id="{EA9E5059-4E31-469C-A2E8-589AA2A76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123535</xdr:colOff>
      <xdr:row>0</xdr:row>
      <xdr:rowOff>47338</xdr:rowOff>
    </xdr:from>
    <xdr:to>
      <xdr:col>41</xdr:col>
      <xdr:colOff>11544</xdr:colOff>
      <xdr:row>46</xdr:row>
      <xdr:rowOff>69273</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2132444" y="47338"/>
          <a:ext cx="22378555" cy="851939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46</xdr:row>
      <xdr:rowOff>34636</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008909" cy="8532091"/>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78011" cy="451021"/>
        </a:xfrm>
        <a:prstGeom prst="rect">
          <a:avLst/>
        </a:prstGeom>
      </xdr:spPr>
    </xdr:pic>
    <xdr:clientData/>
  </xdr:twoCellAnchor>
  <xdr:twoCellAnchor>
    <xdr:from>
      <xdr:col>0</xdr:col>
      <xdr:colOff>222250</xdr:colOff>
      <xdr:row>5</xdr:row>
      <xdr:rowOff>69850</xdr:rowOff>
    </xdr:from>
    <xdr:to>
      <xdr:col>2</xdr:col>
      <xdr:colOff>6350</xdr:colOff>
      <xdr:row>8</xdr:row>
      <xdr:rowOff>82550</xdr:rowOff>
    </xdr:to>
    <xdr:sp macro="" textlink="Pivots!G4">
      <xdr:nvSpPr>
        <xdr:cNvPr id="5" name="TextBox 4">
          <a:extLst>
            <a:ext uri="{FF2B5EF4-FFF2-40B4-BE49-F238E27FC236}">
              <a16:creationId xmlns:a16="http://schemas.microsoft.com/office/drawing/2014/main" id="{E5460E06-E16F-3CAB-FE01-C3EE1ABC0390}"/>
            </a:ext>
          </a:extLst>
        </xdr:cNvPr>
        <xdr:cNvSpPr txBox="1"/>
      </xdr:nvSpPr>
      <xdr:spPr>
        <a:xfrm>
          <a:off x="222250" y="990600"/>
          <a:ext cx="1568450" cy="5651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C307F4-0013-4005-B8F7-61DCC7C08DC1}" type="TxLink">
            <a:rPr lang="en-US" sz="3200" b="1" i="0" u="none" strike="noStrike">
              <a:solidFill>
                <a:schemeClr val="bg1"/>
              </a:solidFill>
              <a:latin typeface="Aptos Narrow"/>
            </a:rPr>
            <a:pPr algn="ctr"/>
            <a:t>2,400</a:t>
          </a:fld>
          <a:endParaRPr lang="en-IN" sz="3200" b="1">
            <a:solidFill>
              <a:schemeClr val="bg1"/>
            </a:solidFill>
          </a:endParaRPr>
        </a:p>
      </xdr:txBody>
    </xdr:sp>
    <xdr:clientData/>
  </xdr:twoCellAnchor>
  <xdr:twoCellAnchor>
    <xdr:from>
      <xdr:col>1</xdr:col>
      <xdr:colOff>12700</xdr:colOff>
      <xdr:row>11</xdr:row>
      <xdr:rowOff>31750</xdr:rowOff>
    </xdr:from>
    <xdr:to>
      <xdr:col>2</xdr:col>
      <xdr:colOff>31750</xdr:colOff>
      <xdr:row>14</xdr:row>
      <xdr:rowOff>44450</xdr:rowOff>
    </xdr:to>
    <xdr:sp macro="" textlink="Pivots!H4">
      <xdr:nvSpPr>
        <xdr:cNvPr id="7" name="TextBox 6">
          <a:extLst>
            <a:ext uri="{FF2B5EF4-FFF2-40B4-BE49-F238E27FC236}">
              <a16:creationId xmlns:a16="http://schemas.microsoft.com/office/drawing/2014/main" id="{E2F5CE9A-A37E-4472-90C6-312AA9EAADA7}"/>
            </a:ext>
          </a:extLst>
        </xdr:cNvPr>
        <xdr:cNvSpPr txBox="1"/>
      </xdr:nvSpPr>
      <xdr:spPr>
        <a:xfrm>
          <a:off x="247650" y="2057400"/>
          <a:ext cx="1568450" cy="5651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330C20-FAD0-4815-A0CC-27D12BA23AEE}" type="TxLink">
            <a:rPr lang="en-US" sz="3200" b="1" i="0" u="none" strike="noStrike">
              <a:solidFill>
                <a:schemeClr val="bg1"/>
              </a:solidFill>
              <a:latin typeface="Aptos Narrow"/>
              <a:ea typeface="+mn-ea"/>
              <a:cs typeface="+mn-cs"/>
            </a:rPr>
            <a:pPr marL="0" indent="0" algn="ctr"/>
            <a:t>11,997</a:t>
          </a:fld>
          <a:endParaRPr lang="en-IN" sz="3200" b="1" i="0" u="none" strike="noStrike">
            <a:solidFill>
              <a:schemeClr val="bg1"/>
            </a:solidFill>
            <a:latin typeface="Aptos Narrow"/>
            <a:ea typeface="+mn-ea"/>
            <a:cs typeface="+mn-cs"/>
          </a:endParaRPr>
        </a:p>
      </xdr:txBody>
    </xdr:sp>
    <xdr:clientData/>
  </xdr:twoCellAnchor>
  <xdr:twoCellAnchor>
    <xdr:from>
      <xdr:col>0</xdr:col>
      <xdr:colOff>222250</xdr:colOff>
      <xdr:row>16</xdr:row>
      <xdr:rowOff>114300</xdr:rowOff>
    </xdr:from>
    <xdr:to>
      <xdr:col>2</xdr:col>
      <xdr:colOff>6350</xdr:colOff>
      <xdr:row>19</xdr:row>
      <xdr:rowOff>127000</xdr:rowOff>
    </xdr:to>
    <xdr:sp macro="" textlink="Pivots!I4">
      <xdr:nvSpPr>
        <xdr:cNvPr id="8" name="TextBox 7">
          <a:extLst>
            <a:ext uri="{FF2B5EF4-FFF2-40B4-BE49-F238E27FC236}">
              <a16:creationId xmlns:a16="http://schemas.microsoft.com/office/drawing/2014/main" id="{1C0DED38-F1CB-481F-88FA-B39EBD65607E}"/>
            </a:ext>
          </a:extLst>
        </xdr:cNvPr>
        <xdr:cNvSpPr txBox="1"/>
      </xdr:nvSpPr>
      <xdr:spPr>
        <a:xfrm>
          <a:off x="222250" y="3060700"/>
          <a:ext cx="1568450" cy="5651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1F615DE-F9E4-40E1-9B29-FDCF8CAFDA4A}" type="TxLink">
            <a:rPr lang="en-US" sz="3200" b="1" i="0" u="none" strike="noStrike">
              <a:solidFill>
                <a:schemeClr val="bg1"/>
              </a:solidFill>
              <a:latin typeface="Aptos Narrow"/>
              <a:ea typeface="+mn-ea"/>
              <a:cs typeface="+mn-cs"/>
            </a:rPr>
            <a:pPr marL="0" indent="0" algn="ctr"/>
            <a:t>$649.0k</a:t>
          </a:fld>
          <a:endParaRPr lang="en-IN" sz="3200" b="1" i="0" u="none" strike="noStrike">
            <a:solidFill>
              <a:schemeClr val="bg1"/>
            </a:solidFill>
            <a:latin typeface="Aptos Narrow"/>
            <a:ea typeface="+mn-ea"/>
            <a:cs typeface="+mn-cs"/>
          </a:endParaRPr>
        </a:p>
      </xdr:txBody>
    </xdr:sp>
    <xdr:clientData/>
  </xdr:twoCellAnchor>
  <xdr:twoCellAnchor>
    <xdr:from>
      <xdr:col>1</xdr:col>
      <xdr:colOff>38100</xdr:colOff>
      <xdr:row>22</xdr:row>
      <xdr:rowOff>95250</xdr:rowOff>
    </xdr:from>
    <xdr:to>
      <xdr:col>2</xdr:col>
      <xdr:colOff>57150</xdr:colOff>
      <xdr:row>25</xdr:row>
      <xdr:rowOff>107950</xdr:rowOff>
    </xdr:to>
    <xdr:sp macro="" textlink="Pivots!J4">
      <xdr:nvSpPr>
        <xdr:cNvPr id="9" name="TextBox 8">
          <a:extLst>
            <a:ext uri="{FF2B5EF4-FFF2-40B4-BE49-F238E27FC236}">
              <a16:creationId xmlns:a16="http://schemas.microsoft.com/office/drawing/2014/main" id="{A4E8A12C-DBA4-4526-9542-ED566160DF20}"/>
            </a:ext>
          </a:extLst>
        </xdr:cNvPr>
        <xdr:cNvSpPr txBox="1"/>
      </xdr:nvSpPr>
      <xdr:spPr>
        <a:xfrm>
          <a:off x="273050" y="4146550"/>
          <a:ext cx="1568450" cy="5651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4EA0E6-4A4C-4896-A71B-FEA3FFAC6E0E}" type="TxLink">
            <a:rPr lang="en-US" sz="3200" b="1" i="0" u="none" strike="noStrike">
              <a:solidFill>
                <a:schemeClr val="bg1"/>
              </a:solidFill>
              <a:latin typeface="Aptos Narrow"/>
              <a:ea typeface="+mn-ea"/>
              <a:cs typeface="+mn-cs"/>
            </a:rPr>
            <a:pPr marL="0" indent="0" algn="ctr"/>
            <a:t> 4.0</a:t>
          </a:fld>
          <a:endParaRPr lang="en-IN" sz="3200" b="1" i="0" u="none" strike="noStrike">
            <a:solidFill>
              <a:schemeClr val="bg1"/>
            </a:solidFill>
            <a:latin typeface="Aptos Narrow"/>
            <a:ea typeface="+mn-ea"/>
            <a:cs typeface="+mn-cs"/>
          </a:endParaRPr>
        </a:p>
      </xdr:txBody>
    </xdr:sp>
    <xdr:clientData/>
  </xdr:twoCellAnchor>
  <xdr:twoCellAnchor>
    <xdr:from>
      <xdr:col>1</xdr:col>
      <xdr:colOff>38100</xdr:colOff>
      <xdr:row>28</xdr:row>
      <xdr:rowOff>57150</xdr:rowOff>
    </xdr:from>
    <xdr:to>
      <xdr:col>2</xdr:col>
      <xdr:colOff>57150</xdr:colOff>
      <xdr:row>31</xdr:row>
      <xdr:rowOff>69850</xdr:rowOff>
    </xdr:to>
    <xdr:sp macro="" textlink="Pivots!K4">
      <xdr:nvSpPr>
        <xdr:cNvPr id="10" name="TextBox 9">
          <a:extLst>
            <a:ext uri="{FF2B5EF4-FFF2-40B4-BE49-F238E27FC236}">
              <a16:creationId xmlns:a16="http://schemas.microsoft.com/office/drawing/2014/main" id="{13E37BFC-431F-4CAB-96D6-5D2AB059127A}"/>
            </a:ext>
          </a:extLst>
        </xdr:cNvPr>
        <xdr:cNvSpPr txBox="1"/>
      </xdr:nvSpPr>
      <xdr:spPr>
        <a:xfrm>
          <a:off x="273050" y="5213350"/>
          <a:ext cx="1568450" cy="5651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F8F44E-37D9-4A0C-87E7-DB0B386568DF}" type="TxLink">
            <a:rPr lang="en-US" sz="3200" b="1" i="0" u="none" strike="noStrike">
              <a:solidFill>
                <a:schemeClr val="bg1"/>
              </a:solidFill>
              <a:latin typeface="Aptos Narrow"/>
              <a:ea typeface="+mn-ea"/>
              <a:cs typeface="+mn-cs"/>
            </a:rPr>
            <a:pPr marL="0" indent="0" algn="ctr"/>
            <a:t> 2.3</a:t>
          </a:fld>
          <a:endParaRPr lang="en-IN" sz="3200" b="1" i="0" u="none" strike="noStrike">
            <a:solidFill>
              <a:schemeClr val="bg1"/>
            </a:solidFill>
            <a:latin typeface="Aptos Narrow"/>
            <a:ea typeface="+mn-ea"/>
            <a:cs typeface="+mn-cs"/>
          </a:endParaRPr>
        </a:p>
      </xdr:txBody>
    </xdr:sp>
    <xdr:clientData/>
  </xdr:twoCellAnchor>
  <xdr:twoCellAnchor>
    <xdr:from>
      <xdr:col>1</xdr:col>
      <xdr:colOff>44450</xdr:colOff>
      <xdr:row>3</xdr:row>
      <xdr:rowOff>76200</xdr:rowOff>
    </xdr:from>
    <xdr:to>
      <xdr:col>1</xdr:col>
      <xdr:colOff>1460500</xdr:colOff>
      <xdr:row>4</xdr:row>
      <xdr:rowOff>120650</xdr:rowOff>
    </xdr:to>
    <xdr:sp macro="" textlink="">
      <xdr:nvSpPr>
        <xdr:cNvPr id="11" name="TextBox 10">
          <a:extLst>
            <a:ext uri="{FF2B5EF4-FFF2-40B4-BE49-F238E27FC236}">
              <a16:creationId xmlns:a16="http://schemas.microsoft.com/office/drawing/2014/main" id="{BC738AD2-E389-4D45-54BA-C5DD066B54A4}"/>
            </a:ext>
          </a:extLst>
        </xdr:cNvPr>
        <xdr:cNvSpPr txBox="1"/>
      </xdr:nvSpPr>
      <xdr:spPr>
        <a:xfrm>
          <a:off x="279400" y="628650"/>
          <a:ext cx="14160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effectLst/>
              <a:latin typeface="+mn-lt"/>
              <a:ea typeface="+mn-ea"/>
              <a:cs typeface="+mn-cs"/>
            </a:rPr>
            <a:t>🛒 </a:t>
          </a:r>
          <a:r>
            <a:rPr lang="en-IN" sz="1600" b="1">
              <a:solidFill>
                <a:schemeClr val="bg1"/>
              </a:solidFill>
              <a:effectLst/>
              <a:latin typeface="+mn-lt"/>
              <a:ea typeface="+mn-ea"/>
              <a:cs typeface="+mn-cs"/>
            </a:rPr>
            <a:t>Orders</a:t>
          </a:r>
          <a:r>
            <a:rPr lang="en-IN" sz="1100" b="1">
              <a:solidFill>
                <a:schemeClr val="bg1"/>
              </a:solidFill>
              <a:effectLst/>
              <a:latin typeface="+mn-lt"/>
              <a:ea typeface="+mn-ea"/>
              <a:cs typeface="+mn-cs"/>
            </a:rPr>
            <a:t> </a:t>
          </a:r>
        </a:p>
      </xdr:txBody>
    </xdr:sp>
    <xdr:clientData/>
  </xdr:twoCellAnchor>
  <xdr:twoCellAnchor>
    <xdr:from>
      <xdr:col>1</xdr:col>
      <xdr:colOff>76200</xdr:colOff>
      <xdr:row>9</xdr:row>
      <xdr:rowOff>76200</xdr:rowOff>
    </xdr:from>
    <xdr:to>
      <xdr:col>1</xdr:col>
      <xdr:colOff>1492250</xdr:colOff>
      <xdr:row>10</xdr:row>
      <xdr:rowOff>120650</xdr:rowOff>
    </xdr:to>
    <xdr:sp macro="" textlink="">
      <xdr:nvSpPr>
        <xdr:cNvPr id="17" name="TextBox 16">
          <a:extLst>
            <a:ext uri="{FF2B5EF4-FFF2-40B4-BE49-F238E27FC236}">
              <a16:creationId xmlns:a16="http://schemas.microsoft.com/office/drawing/2014/main" id="{487F4E4F-1304-4BB1-A4EE-277C5C167116}"/>
            </a:ext>
          </a:extLst>
        </xdr:cNvPr>
        <xdr:cNvSpPr txBox="1"/>
      </xdr:nvSpPr>
      <xdr:spPr>
        <a:xfrm>
          <a:off x="311150" y="1733550"/>
          <a:ext cx="14160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0" i="0" u="none" strike="noStrike">
              <a:solidFill>
                <a:schemeClr val="dk1"/>
              </a:solidFill>
              <a:effectLst/>
              <a:latin typeface="+mn-lt"/>
              <a:ea typeface="+mn-ea"/>
              <a:cs typeface="+mn-cs"/>
            </a:rPr>
            <a:t>👕</a:t>
          </a:r>
          <a:r>
            <a:rPr lang="en-IN">
              <a:effectLst/>
            </a:rPr>
            <a:t> </a:t>
          </a:r>
          <a:r>
            <a:rPr lang="en-IN" sz="1600" b="1">
              <a:solidFill>
                <a:schemeClr val="bg1"/>
              </a:solidFill>
              <a:effectLst/>
              <a:latin typeface="+mn-lt"/>
              <a:ea typeface="+mn-ea"/>
              <a:cs typeface="+mn-cs"/>
            </a:rPr>
            <a:t>Quantity</a:t>
          </a:r>
          <a:r>
            <a:rPr lang="en-IN">
              <a:effectLst/>
            </a:rPr>
            <a:t> </a:t>
          </a:r>
          <a:endParaRPr lang="en-IN" sz="1100">
            <a:solidFill>
              <a:schemeClr val="bg1"/>
            </a:solidFill>
            <a:effectLst/>
            <a:latin typeface="+mn-lt"/>
            <a:ea typeface="+mn-ea"/>
            <a:cs typeface="+mn-cs"/>
          </a:endParaRPr>
        </a:p>
      </xdr:txBody>
    </xdr:sp>
    <xdr:clientData/>
  </xdr:twoCellAnchor>
  <xdr:twoCellAnchor>
    <xdr:from>
      <xdr:col>1</xdr:col>
      <xdr:colOff>76200</xdr:colOff>
      <xdr:row>15</xdr:row>
      <xdr:rowOff>6350</xdr:rowOff>
    </xdr:from>
    <xdr:to>
      <xdr:col>1</xdr:col>
      <xdr:colOff>1492250</xdr:colOff>
      <xdr:row>16</xdr:row>
      <xdr:rowOff>50800</xdr:rowOff>
    </xdr:to>
    <xdr:sp macro="" textlink="">
      <xdr:nvSpPr>
        <xdr:cNvPr id="18" name="TextBox 17">
          <a:extLst>
            <a:ext uri="{FF2B5EF4-FFF2-40B4-BE49-F238E27FC236}">
              <a16:creationId xmlns:a16="http://schemas.microsoft.com/office/drawing/2014/main" id="{AE78FCC0-3ADB-44D4-8930-6D85756E7B36}"/>
            </a:ext>
          </a:extLst>
        </xdr:cNvPr>
        <xdr:cNvSpPr txBox="1"/>
      </xdr:nvSpPr>
      <xdr:spPr>
        <a:xfrm>
          <a:off x="311150" y="2768600"/>
          <a:ext cx="14160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i="0" u="none" strike="noStrike">
              <a:solidFill>
                <a:schemeClr val="dk1"/>
              </a:solidFill>
              <a:effectLst/>
              <a:latin typeface="+mn-lt"/>
              <a:ea typeface="+mn-ea"/>
              <a:cs typeface="+mn-cs"/>
            </a:rPr>
            <a:t>💰</a:t>
          </a:r>
          <a:r>
            <a:rPr lang="en-IN">
              <a:effectLst/>
            </a:rPr>
            <a:t> </a:t>
          </a:r>
          <a:r>
            <a:rPr lang="en-US" sz="1100">
              <a:solidFill>
                <a:schemeClr val="bg1"/>
              </a:solidFill>
              <a:effectLst/>
              <a:latin typeface="+mn-lt"/>
              <a:ea typeface="+mn-ea"/>
              <a:cs typeface="+mn-cs"/>
            </a:rPr>
            <a:t> </a:t>
          </a:r>
          <a:r>
            <a:rPr lang="en-IN" sz="1600" b="1">
              <a:solidFill>
                <a:schemeClr val="bg1"/>
              </a:solidFill>
              <a:effectLst/>
              <a:latin typeface="+mn-lt"/>
              <a:ea typeface="+mn-ea"/>
              <a:cs typeface="+mn-cs"/>
            </a:rPr>
            <a:t>Amount</a:t>
          </a:r>
          <a:endParaRPr lang="en-IN" sz="1100">
            <a:solidFill>
              <a:schemeClr val="bg1"/>
            </a:solidFill>
            <a:effectLst/>
            <a:latin typeface="+mn-lt"/>
            <a:ea typeface="+mn-ea"/>
            <a:cs typeface="+mn-cs"/>
          </a:endParaRPr>
        </a:p>
      </xdr:txBody>
    </xdr:sp>
    <xdr:clientData/>
  </xdr:twoCellAnchor>
  <xdr:twoCellAnchor>
    <xdr:from>
      <xdr:col>1</xdr:col>
      <xdr:colOff>95250</xdr:colOff>
      <xdr:row>20</xdr:row>
      <xdr:rowOff>114300</xdr:rowOff>
    </xdr:from>
    <xdr:to>
      <xdr:col>1</xdr:col>
      <xdr:colOff>1511300</xdr:colOff>
      <xdr:row>21</xdr:row>
      <xdr:rowOff>158750</xdr:rowOff>
    </xdr:to>
    <xdr:sp macro="" textlink="">
      <xdr:nvSpPr>
        <xdr:cNvPr id="19" name="TextBox 18">
          <a:extLst>
            <a:ext uri="{FF2B5EF4-FFF2-40B4-BE49-F238E27FC236}">
              <a16:creationId xmlns:a16="http://schemas.microsoft.com/office/drawing/2014/main" id="{D91D95BC-E204-43DA-A748-E2F3D257E1E3}"/>
            </a:ext>
          </a:extLst>
        </xdr:cNvPr>
        <xdr:cNvSpPr txBox="1"/>
      </xdr:nvSpPr>
      <xdr:spPr>
        <a:xfrm>
          <a:off x="330200" y="3797300"/>
          <a:ext cx="14160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i="0" u="none" strike="noStrike">
              <a:solidFill>
                <a:schemeClr val="dk1"/>
              </a:solidFill>
              <a:effectLst/>
              <a:latin typeface="+mn-lt"/>
              <a:ea typeface="+mn-ea"/>
              <a:cs typeface="+mn-cs"/>
            </a:rPr>
            <a:t>⭐</a:t>
          </a:r>
          <a:r>
            <a:rPr lang="en-IN">
              <a:effectLst/>
            </a:rPr>
            <a:t> </a:t>
          </a:r>
          <a:r>
            <a:rPr lang="en-US" sz="1100">
              <a:solidFill>
                <a:schemeClr val="bg1"/>
              </a:solidFill>
              <a:effectLst/>
              <a:latin typeface="+mn-lt"/>
              <a:ea typeface="+mn-ea"/>
              <a:cs typeface="+mn-cs"/>
            </a:rPr>
            <a:t> </a:t>
          </a:r>
          <a:r>
            <a:rPr lang="en-IN" sz="1600" b="1">
              <a:solidFill>
                <a:schemeClr val="bg1"/>
              </a:solidFill>
              <a:effectLst/>
              <a:latin typeface="+mn-lt"/>
              <a:ea typeface="+mn-ea"/>
              <a:cs typeface="+mn-cs"/>
            </a:rPr>
            <a:t>Avg.</a:t>
          </a:r>
          <a:r>
            <a:rPr lang="en-IN" sz="1600" b="1" baseline="0">
              <a:solidFill>
                <a:schemeClr val="bg1"/>
              </a:solidFill>
              <a:effectLst/>
              <a:latin typeface="+mn-lt"/>
              <a:ea typeface="+mn-ea"/>
              <a:cs typeface="+mn-cs"/>
            </a:rPr>
            <a:t> Rating</a:t>
          </a:r>
          <a:endParaRPr lang="en-IN" sz="1100">
            <a:solidFill>
              <a:schemeClr val="bg1"/>
            </a:solidFill>
            <a:effectLst/>
            <a:latin typeface="+mn-lt"/>
            <a:ea typeface="+mn-ea"/>
            <a:cs typeface="+mn-cs"/>
          </a:endParaRPr>
        </a:p>
      </xdr:txBody>
    </xdr:sp>
    <xdr:clientData/>
  </xdr:twoCellAnchor>
  <xdr:twoCellAnchor>
    <xdr:from>
      <xdr:col>1</xdr:col>
      <xdr:colOff>82550</xdr:colOff>
      <xdr:row>26</xdr:row>
      <xdr:rowOff>95250</xdr:rowOff>
    </xdr:from>
    <xdr:to>
      <xdr:col>1</xdr:col>
      <xdr:colOff>1536700</xdr:colOff>
      <xdr:row>27</xdr:row>
      <xdr:rowOff>133350</xdr:rowOff>
    </xdr:to>
    <xdr:sp macro="" textlink="">
      <xdr:nvSpPr>
        <xdr:cNvPr id="20" name="TextBox 19">
          <a:extLst>
            <a:ext uri="{FF2B5EF4-FFF2-40B4-BE49-F238E27FC236}">
              <a16:creationId xmlns:a16="http://schemas.microsoft.com/office/drawing/2014/main" id="{2C825330-5424-47FF-9914-F364D6971A51}"/>
            </a:ext>
          </a:extLst>
        </xdr:cNvPr>
        <xdr:cNvSpPr txBox="1"/>
      </xdr:nvSpPr>
      <xdr:spPr>
        <a:xfrm>
          <a:off x="317500" y="4883150"/>
          <a:ext cx="14541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0" u="none" strike="noStrike">
              <a:solidFill>
                <a:schemeClr val="dk1"/>
              </a:solidFill>
              <a:effectLst/>
              <a:latin typeface="+mn-lt"/>
              <a:ea typeface="+mn-ea"/>
              <a:cs typeface="+mn-cs"/>
            </a:rPr>
            <a:t>📅</a:t>
          </a:r>
          <a:r>
            <a:rPr lang="en-IN" sz="1200">
              <a:effectLst/>
            </a:rPr>
            <a:t> </a:t>
          </a:r>
          <a:r>
            <a:rPr lang="en-US" sz="1200">
              <a:solidFill>
                <a:schemeClr val="bg1"/>
              </a:solidFill>
              <a:effectLst/>
              <a:latin typeface="+mn-lt"/>
              <a:ea typeface="+mn-ea"/>
              <a:cs typeface="+mn-cs"/>
            </a:rPr>
            <a:t> </a:t>
          </a:r>
          <a:r>
            <a:rPr lang="en-IN" sz="1200" b="1">
              <a:solidFill>
                <a:schemeClr val="bg1"/>
              </a:solidFill>
              <a:effectLst/>
              <a:latin typeface="+mn-lt"/>
              <a:ea typeface="+mn-ea"/>
              <a:cs typeface="+mn-cs"/>
            </a:rPr>
            <a:t>Days</a:t>
          </a:r>
          <a:r>
            <a:rPr lang="en-IN" sz="1200" b="1" baseline="0">
              <a:solidFill>
                <a:schemeClr val="bg1"/>
              </a:solidFill>
              <a:effectLst/>
              <a:latin typeface="+mn-lt"/>
              <a:ea typeface="+mn-ea"/>
              <a:cs typeface="+mn-cs"/>
            </a:rPr>
            <a:t> to Deliver</a:t>
          </a:r>
        </a:p>
      </xdr:txBody>
    </xdr:sp>
    <xdr:clientData/>
  </xdr:twoCellAnchor>
  <xdr:twoCellAnchor>
    <xdr:from>
      <xdr:col>3</xdr:col>
      <xdr:colOff>230908</xdr:colOff>
      <xdr:row>0</xdr:row>
      <xdr:rowOff>114300</xdr:rowOff>
    </xdr:from>
    <xdr:to>
      <xdr:col>13</xdr:col>
      <xdr:colOff>11544</xdr:colOff>
      <xdr:row>19</xdr:row>
      <xdr:rowOff>161637</xdr:rowOff>
    </xdr:to>
    <xdr:graphicFrame macro="">
      <xdr:nvGraphicFramePr>
        <xdr:cNvPr id="21" name="Chart 20">
          <a:extLst>
            <a:ext uri="{FF2B5EF4-FFF2-40B4-BE49-F238E27FC236}">
              <a16:creationId xmlns:a16="http://schemas.microsoft.com/office/drawing/2014/main" id="{B266D2E4-7DCD-4BAF-BDA5-9587E54B8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334820</xdr:colOff>
      <xdr:row>1</xdr:row>
      <xdr:rowOff>56574</xdr:rowOff>
    </xdr:from>
    <xdr:to>
      <xdr:col>21</xdr:col>
      <xdr:colOff>41117</xdr:colOff>
      <xdr:row>8</xdr:row>
      <xdr:rowOff>115455</xdr:rowOff>
    </xdr:to>
    <xdr:pic>
      <xdr:nvPicPr>
        <xdr:cNvPr id="29" name="Picture 28">
          <a:extLst>
            <a:ext uri="{FF2B5EF4-FFF2-40B4-BE49-F238E27FC236}">
              <a16:creationId xmlns:a16="http://schemas.microsoft.com/office/drawing/2014/main" id="{E2614A3B-2EEC-2072-A228-9A7364CF22F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81820" y="241301"/>
          <a:ext cx="4601570" cy="13519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326736</xdr:colOff>
      <xdr:row>1</xdr:row>
      <xdr:rowOff>11545</xdr:rowOff>
    </xdr:from>
    <xdr:to>
      <xdr:col>29</xdr:col>
      <xdr:colOff>400628</xdr:colOff>
      <xdr:row>17</xdr:row>
      <xdr:rowOff>23091</xdr:rowOff>
    </xdr:to>
    <xdr:graphicFrame macro="">
      <xdr:nvGraphicFramePr>
        <xdr:cNvPr id="30" name="Chart 29">
          <a:extLst>
            <a:ext uri="{FF2B5EF4-FFF2-40B4-BE49-F238E27FC236}">
              <a16:creationId xmlns:a16="http://schemas.microsoft.com/office/drawing/2014/main" id="{92123EFE-C81E-4380-9758-DE39DB7DD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201467</xdr:colOff>
      <xdr:row>20</xdr:row>
      <xdr:rowOff>127000</xdr:rowOff>
    </xdr:from>
    <xdr:to>
      <xdr:col>17</xdr:col>
      <xdr:colOff>323273</xdr:colOff>
      <xdr:row>43</xdr:row>
      <xdr:rowOff>173182</xdr:rowOff>
    </xdr:to>
    <xdr:graphicFrame macro="">
      <xdr:nvGraphicFramePr>
        <xdr:cNvPr id="32" name="Chart 31">
          <a:extLst>
            <a:ext uri="{FF2B5EF4-FFF2-40B4-BE49-F238E27FC236}">
              <a16:creationId xmlns:a16="http://schemas.microsoft.com/office/drawing/2014/main" id="{D09A42C2-C192-4036-988E-352A4EF66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359063</xdr:colOff>
      <xdr:row>21</xdr:row>
      <xdr:rowOff>11545</xdr:rowOff>
    </xdr:from>
    <xdr:to>
      <xdr:col>29</xdr:col>
      <xdr:colOff>92364</xdr:colOff>
      <xdr:row>43</xdr:row>
      <xdr:rowOff>127000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1CB5C08E-132B-4D97-9DA4-5E1B26A655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147713" y="3878695"/>
              <a:ext cx="6064251" cy="41667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99291</xdr:colOff>
      <xdr:row>27</xdr:row>
      <xdr:rowOff>146051</xdr:rowOff>
    </xdr:from>
    <xdr:to>
      <xdr:col>27</xdr:col>
      <xdr:colOff>581891</xdr:colOff>
      <xdr:row>34</xdr:row>
      <xdr:rowOff>88323</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BA2FD7A4-9230-4BDB-A0E9-6E9F99B70F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5155141" y="5118101"/>
              <a:ext cx="1327150" cy="12313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431222</xdr:colOff>
      <xdr:row>1</xdr:row>
      <xdr:rowOff>94673</xdr:rowOff>
    </xdr:from>
    <xdr:to>
      <xdr:col>40</xdr:col>
      <xdr:colOff>219364</xdr:colOff>
      <xdr:row>16</xdr:row>
      <xdr:rowOff>75623</xdr:rowOff>
    </xdr:to>
    <xdr:graphicFrame macro="">
      <xdr:nvGraphicFramePr>
        <xdr:cNvPr id="14" name="Chart 13">
          <a:extLst>
            <a:ext uri="{FF2B5EF4-FFF2-40B4-BE49-F238E27FC236}">
              <a16:creationId xmlns:a16="http://schemas.microsoft.com/office/drawing/2014/main" id="{D0E58A59-2C4B-46F9-B3E1-0BFEF12EF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29439</xdr:colOff>
      <xdr:row>20</xdr:row>
      <xdr:rowOff>150090</xdr:rowOff>
    </xdr:from>
    <xdr:to>
      <xdr:col>40</xdr:col>
      <xdr:colOff>277090</xdr:colOff>
      <xdr:row>43</xdr:row>
      <xdr:rowOff>173181</xdr:rowOff>
    </xdr:to>
    <xdr:graphicFrame macro="">
      <xdr:nvGraphicFramePr>
        <xdr:cNvPr id="15" name="Chart 14">
          <a:extLst>
            <a:ext uri="{FF2B5EF4-FFF2-40B4-BE49-F238E27FC236}">
              <a16:creationId xmlns:a16="http://schemas.microsoft.com/office/drawing/2014/main" id="{F7D3E479-3A47-4E00-8160-359A9E049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539174</xdr:colOff>
      <xdr:row>9</xdr:row>
      <xdr:rowOff>116608</xdr:rowOff>
    </xdr:from>
    <xdr:to>
      <xdr:col>16</xdr:col>
      <xdr:colOff>532247</xdr:colOff>
      <xdr:row>19</xdr:row>
      <xdr:rowOff>80817</xdr:rowOff>
    </xdr:to>
    <mc:AlternateContent xmlns:mc="http://schemas.openxmlformats.org/markup-compatibility/2006" xmlns:a14="http://schemas.microsoft.com/office/drawing/2010/main">
      <mc:Choice Requires="a14">
        <xdr:graphicFrame macro="">
          <xdr:nvGraphicFramePr>
            <xdr:cNvPr id="22" name="Order Mode">
              <a:extLst>
                <a:ext uri="{FF2B5EF4-FFF2-40B4-BE49-F238E27FC236}">
                  <a16:creationId xmlns:a16="http://schemas.microsoft.com/office/drawing/2014/main" id="{F4908B7F-E64F-473D-A6D7-EE149D255532}"/>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8298874" y="1831108"/>
              <a:ext cx="1821873" cy="1869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238991</xdr:colOff>
      <xdr:row>11</xdr:row>
      <xdr:rowOff>11546</xdr:rowOff>
    </xdr:from>
    <xdr:to>
      <xdr:col>20</xdr:col>
      <xdr:colOff>232063</xdr:colOff>
      <xdr:row>19</xdr:row>
      <xdr:rowOff>69274</xdr:rowOff>
    </xdr:to>
    <mc:AlternateContent xmlns:mc="http://schemas.openxmlformats.org/markup-compatibility/2006" xmlns:a14="http://schemas.microsoft.com/office/drawing/2010/main">
      <mc:Choice Requires="a14">
        <xdr:graphicFrame macro="">
          <xdr:nvGraphicFramePr>
            <xdr:cNvPr id="23" name="Gender Value">
              <a:extLst>
                <a:ext uri="{FF2B5EF4-FFF2-40B4-BE49-F238E27FC236}">
                  <a16:creationId xmlns:a16="http://schemas.microsoft.com/office/drawing/2014/main" id="{4FD72854-8517-49E0-A505-4B9A602C0125}"/>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0437091" y="2107046"/>
              <a:ext cx="1821872" cy="1581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484908</xdr:colOff>
      <xdr:row>29</xdr:row>
      <xdr:rowOff>150089</xdr:rowOff>
    </xdr:from>
    <xdr:to>
      <xdr:col>13</xdr:col>
      <xdr:colOff>484909</xdr:colOff>
      <xdr:row>40</xdr:row>
      <xdr:rowOff>23090</xdr:rowOff>
    </xdr:to>
    <xdr:graphicFrame macro="">
      <xdr:nvGraphicFramePr>
        <xdr:cNvPr id="24" name="Chart 23">
          <a:extLst>
            <a:ext uri="{FF2B5EF4-FFF2-40B4-BE49-F238E27FC236}">
              <a16:creationId xmlns:a16="http://schemas.microsoft.com/office/drawing/2014/main" id="{607EA576-632E-4A4E-B397-B0DF566EB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3.428884143519" createdVersion="8" refreshedVersion="8" minRefreshableVersion="3" recordCount="2400" xr:uid="{EEEB4FDE-E40D-41B8-9F0F-97DE8D96E32C}">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2092315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1ECABF-E5C3-4083-8B5F-D9E278A6A4EB}" name="PvtItem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34:I56"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12">
    <chartFormat chart="12" format="8" series="1">
      <pivotArea type="data" outline="0" fieldPosition="0">
        <references count="2">
          <reference field="4294967294" count="1" selected="0">
            <x v="0"/>
          </reference>
          <reference field="14" count="1" selected="0">
            <x v="0"/>
          </reference>
        </references>
      </pivotArea>
    </chartFormat>
    <chartFormat chart="12" format="9" series="1">
      <pivotArea type="data" outline="0" fieldPosition="0">
        <references count="2">
          <reference field="4294967294" count="1" selected="0">
            <x v="0"/>
          </reference>
          <reference field="14" count="1" selected="0">
            <x v="1"/>
          </reference>
        </references>
      </pivotArea>
    </chartFormat>
    <chartFormat chart="12" format="10" series="1">
      <pivotArea type="data" outline="0" fieldPosition="0">
        <references count="2">
          <reference field="4294967294" count="1" selected="0">
            <x v="0"/>
          </reference>
          <reference field="14" count="1" selected="0">
            <x v="2"/>
          </reference>
        </references>
      </pivotArea>
    </chartFormat>
    <chartFormat chart="12" format="11" series="1">
      <pivotArea type="data" outline="0" fieldPosition="0">
        <references count="2">
          <reference field="4294967294" count="1" selected="0">
            <x v="0"/>
          </reference>
          <reference field="14" count="1" selected="0">
            <x v="3"/>
          </reference>
        </references>
      </pivotArea>
    </chartFormat>
    <chartFormat chart="19" format="16" series="1">
      <pivotArea type="data" outline="0" fieldPosition="0">
        <references count="2">
          <reference field="4294967294" count="1" selected="0">
            <x v="0"/>
          </reference>
          <reference field="14" count="1" selected="0">
            <x v="0"/>
          </reference>
        </references>
      </pivotArea>
    </chartFormat>
    <chartFormat chart="19" format="17" series="1">
      <pivotArea type="data" outline="0" fieldPosition="0">
        <references count="2">
          <reference field="4294967294" count="1" selected="0">
            <x v="0"/>
          </reference>
          <reference field="14" count="1" selected="0">
            <x v="1"/>
          </reference>
        </references>
      </pivotArea>
    </chartFormat>
    <chartFormat chart="19" format="18" series="1">
      <pivotArea type="data" outline="0" fieldPosition="0">
        <references count="2">
          <reference field="4294967294" count="1" selected="0">
            <x v="0"/>
          </reference>
          <reference field="14" count="1" selected="0">
            <x v="2"/>
          </reference>
        </references>
      </pivotArea>
    </chartFormat>
    <chartFormat chart="19" format="19" series="1">
      <pivotArea type="data" outline="0" fieldPosition="0">
        <references count="2">
          <reference field="4294967294" count="1" selected="0">
            <x v="0"/>
          </reference>
          <reference field="14" count="1" selected="0">
            <x v="3"/>
          </reference>
        </references>
      </pivotArea>
    </chartFormat>
    <chartFormat chart="22" format="12" series="1">
      <pivotArea type="data" outline="0" fieldPosition="0">
        <references count="2">
          <reference field="4294967294" count="1" selected="0">
            <x v="0"/>
          </reference>
          <reference field="14" count="1" selected="0">
            <x v="0"/>
          </reference>
        </references>
      </pivotArea>
    </chartFormat>
    <chartFormat chart="22" format="13" series="1">
      <pivotArea type="data" outline="0" fieldPosition="0">
        <references count="2">
          <reference field="4294967294" count="1" selected="0">
            <x v="0"/>
          </reference>
          <reference field="14" count="1" selected="0">
            <x v="1"/>
          </reference>
        </references>
      </pivotArea>
    </chartFormat>
    <chartFormat chart="22" format="14" series="1">
      <pivotArea type="data" outline="0" fieldPosition="0">
        <references count="2">
          <reference field="4294967294" count="1" selected="0">
            <x v="0"/>
          </reference>
          <reference field="14" count="1" selected="0">
            <x v="2"/>
          </reference>
        </references>
      </pivotArea>
    </chartFormat>
    <chartFormat chart="22" format="1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E27058-DDAE-4FDE-A421-29721892209B}" name="PvtT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4:B42"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sd="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5"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6E8E41-968E-48F4-A3F1-69C841E4006B}" name="PvtD2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1:B147"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F3B257-7AA7-4931-BDCF-0EECBE2AADA4}" name="Pvt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3:G128"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33">
    <chartFormat chart="3" format="0" series="1">
      <pivotArea type="data" outline="0" fieldPosition="0">
        <references count="2">
          <reference field="4294967294" count="1" selected="0">
            <x v="0"/>
          </reference>
          <reference field="17" count="1" selected="0">
            <x v="1"/>
          </reference>
        </references>
      </pivotArea>
    </chartFormat>
    <chartFormat chart="3" format="1" series="1">
      <pivotArea type="data" outline="0" fieldPosition="0">
        <references count="2">
          <reference field="4294967294" count="1" selected="0">
            <x v="0"/>
          </reference>
          <reference field="17" count="1" selected="0">
            <x v="2"/>
          </reference>
        </references>
      </pivotArea>
    </chartFormat>
    <chartFormat chart="3" format="2" series="1">
      <pivotArea type="data" outline="0" fieldPosition="0">
        <references count="2">
          <reference field="4294967294" count="1" selected="0">
            <x v="0"/>
          </reference>
          <reference field="17" count="1" selected="0">
            <x v="3"/>
          </reference>
        </references>
      </pivotArea>
    </chartFormat>
    <chartFormat chart="3" format="91" series="1">
      <pivotArea type="data" outline="0" fieldPosition="0">
        <references count="2">
          <reference field="4294967294" count="1" selected="0">
            <x v="0"/>
          </reference>
          <reference field="9" count="1" selected="0">
            <x v="0"/>
          </reference>
        </references>
      </pivotArea>
    </chartFormat>
    <chartFormat chart="3" format="92" series="1">
      <pivotArea type="data" outline="0" fieldPosition="0">
        <references count="2">
          <reference field="4294967294" count="1" selected="0">
            <x v="0"/>
          </reference>
          <reference field="9" count="1" selected="0">
            <x v="1"/>
          </reference>
        </references>
      </pivotArea>
    </chartFormat>
    <chartFormat chart="3" format="93" series="1">
      <pivotArea type="data" outline="0" fieldPosition="0">
        <references count="2">
          <reference field="4294967294" count="1" selected="0">
            <x v="0"/>
          </reference>
          <reference field="9" count="1" selected="0">
            <x v="2"/>
          </reference>
        </references>
      </pivotArea>
    </chartFormat>
    <chartFormat chart="3" format="94" series="1">
      <pivotArea type="data" outline="0" fieldPosition="0">
        <references count="2">
          <reference field="4294967294" count="1" selected="0">
            <x v="0"/>
          </reference>
          <reference field="9" count="1" selected="0">
            <x v="3"/>
          </reference>
        </references>
      </pivotArea>
    </chartFormat>
    <chartFormat chart="3" format="95" series="1">
      <pivotArea type="data" outline="0" fieldPosition="0">
        <references count="2">
          <reference field="4294967294" count="1" selected="0">
            <x v="0"/>
          </reference>
          <reference field="9" count="1" selected="0">
            <x v="4"/>
          </reference>
        </references>
      </pivotArea>
    </chartFormat>
    <chartFormat chart="4" format="96" series="1">
      <pivotArea type="data" outline="0" fieldPosition="0">
        <references count="2">
          <reference field="4294967294" count="1" selected="0">
            <x v="0"/>
          </reference>
          <reference field="9" count="1" selected="0">
            <x v="0"/>
          </reference>
        </references>
      </pivotArea>
    </chartFormat>
    <chartFormat chart="4" format="97" series="1">
      <pivotArea type="data" outline="0" fieldPosition="0">
        <references count="2">
          <reference field="4294967294" count="1" selected="0">
            <x v="0"/>
          </reference>
          <reference field="9" count="1" selected="0">
            <x v="1"/>
          </reference>
        </references>
      </pivotArea>
    </chartFormat>
    <chartFormat chart="4" format="98" series="1">
      <pivotArea type="data" outline="0" fieldPosition="0">
        <references count="2">
          <reference field="4294967294" count="1" selected="0">
            <x v="0"/>
          </reference>
          <reference field="9" count="1" selected="0">
            <x v="2"/>
          </reference>
        </references>
      </pivotArea>
    </chartFormat>
    <chartFormat chart="4" format="99" series="1">
      <pivotArea type="data" outline="0" fieldPosition="0">
        <references count="2">
          <reference field="4294967294" count="1" selected="0">
            <x v="0"/>
          </reference>
          <reference field="9" count="1" selected="0">
            <x v="3"/>
          </reference>
        </references>
      </pivotArea>
    </chartFormat>
    <chartFormat chart="4" format="100" series="1">
      <pivotArea type="data" outline="0" fieldPosition="0">
        <references count="2">
          <reference field="4294967294" count="1" selected="0">
            <x v="0"/>
          </reference>
          <reference field="9" count="1" selected="0">
            <x v="4"/>
          </reference>
        </references>
      </pivotArea>
    </chartFormat>
    <chartFormat chart="5" format="101" series="1">
      <pivotArea type="data" outline="0" fieldPosition="0">
        <references count="2">
          <reference field="4294967294" count="1" selected="0">
            <x v="0"/>
          </reference>
          <reference field="9" count="1" selected="0">
            <x v="0"/>
          </reference>
        </references>
      </pivotArea>
    </chartFormat>
    <chartFormat chart="5" format="102" series="1">
      <pivotArea type="data" outline="0" fieldPosition="0">
        <references count="2">
          <reference field="4294967294" count="1" selected="0">
            <x v="0"/>
          </reference>
          <reference field="9" count="1" selected="0">
            <x v="1"/>
          </reference>
        </references>
      </pivotArea>
    </chartFormat>
    <chartFormat chart="5" format="103" series="1">
      <pivotArea type="data" outline="0" fieldPosition="0">
        <references count="2">
          <reference field="4294967294" count="1" selected="0">
            <x v="0"/>
          </reference>
          <reference field="9" count="1" selected="0">
            <x v="2"/>
          </reference>
        </references>
      </pivotArea>
    </chartFormat>
    <chartFormat chart="5" format="104" series="1">
      <pivotArea type="data" outline="0" fieldPosition="0">
        <references count="2">
          <reference field="4294967294" count="1" selected="0">
            <x v="0"/>
          </reference>
          <reference field="9" count="1" selected="0">
            <x v="3"/>
          </reference>
        </references>
      </pivotArea>
    </chartFormat>
    <chartFormat chart="5" format="105" series="1">
      <pivotArea type="data" outline="0" fieldPosition="0">
        <references count="2">
          <reference field="4294967294" count="1" selected="0">
            <x v="0"/>
          </reference>
          <reference field="9" count="1" selected="0">
            <x v="4"/>
          </reference>
        </references>
      </pivotArea>
    </chartFormat>
    <chartFormat chart="6" format="101" series="1">
      <pivotArea type="data" outline="0" fieldPosition="0">
        <references count="2">
          <reference field="4294967294" count="1" selected="0">
            <x v="0"/>
          </reference>
          <reference field="9" count="1" selected="0">
            <x v="0"/>
          </reference>
        </references>
      </pivotArea>
    </chartFormat>
    <chartFormat chart="6" format="102" series="1">
      <pivotArea type="data" outline="0" fieldPosition="0">
        <references count="2">
          <reference field="4294967294" count="1" selected="0">
            <x v="0"/>
          </reference>
          <reference field="9" count="1" selected="0">
            <x v="1"/>
          </reference>
        </references>
      </pivotArea>
    </chartFormat>
    <chartFormat chart="6" format="103" series="1">
      <pivotArea type="data" outline="0" fieldPosition="0">
        <references count="2">
          <reference field="4294967294" count="1" selected="0">
            <x v="0"/>
          </reference>
          <reference field="9" count="1" selected="0">
            <x v="2"/>
          </reference>
        </references>
      </pivotArea>
    </chartFormat>
    <chartFormat chart="6" format="104" series="1">
      <pivotArea type="data" outline="0" fieldPosition="0">
        <references count="2">
          <reference field="4294967294" count="1" selected="0">
            <x v="0"/>
          </reference>
          <reference field="9" count="1" selected="0">
            <x v="3"/>
          </reference>
        </references>
      </pivotArea>
    </chartFormat>
    <chartFormat chart="6" format="105" series="1">
      <pivotArea type="data" outline="0" fieldPosition="0">
        <references count="2">
          <reference field="4294967294" count="1" selected="0">
            <x v="0"/>
          </reference>
          <reference field="9" count="1" selected="0">
            <x v="4"/>
          </reference>
        </references>
      </pivotArea>
    </chartFormat>
    <chartFormat chart="12" format="106" series="1">
      <pivotArea type="data" outline="0" fieldPosition="0">
        <references count="2">
          <reference field="4294967294" count="1" selected="0">
            <x v="0"/>
          </reference>
          <reference field="9" count="1" selected="0">
            <x v="0"/>
          </reference>
        </references>
      </pivotArea>
    </chartFormat>
    <chartFormat chart="12" format="107" series="1">
      <pivotArea type="data" outline="0" fieldPosition="0">
        <references count="2">
          <reference field="4294967294" count="1" selected="0">
            <x v="0"/>
          </reference>
          <reference field="9" count="1" selected="0">
            <x v="1"/>
          </reference>
        </references>
      </pivotArea>
    </chartFormat>
    <chartFormat chart="12" format="108" series="1">
      <pivotArea type="data" outline="0" fieldPosition="0">
        <references count="2">
          <reference field="4294967294" count="1" selected="0">
            <x v="0"/>
          </reference>
          <reference field="9" count="1" selected="0">
            <x v="2"/>
          </reference>
        </references>
      </pivotArea>
    </chartFormat>
    <chartFormat chart="12" format="109" series="1">
      <pivotArea type="data" outline="0" fieldPosition="0">
        <references count="2">
          <reference field="4294967294" count="1" selected="0">
            <x v="0"/>
          </reference>
          <reference field="9" count="1" selected="0">
            <x v="3"/>
          </reference>
        </references>
      </pivotArea>
    </chartFormat>
    <chartFormat chart="12" format="110" series="1">
      <pivotArea type="data" outline="0" fieldPosition="0">
        <references count="2">
          <reference field="4294967294" count="1" selected="0">
            <x v="0"/>
          </reference>
          <reference field="9" count="1" selected="0">
            <x v="4"/>
          </reference>
        </references>
      </pivotArea>
    </chartFormat>
    <chartFormat chart="13" format="111" series="1">
      <pivotArea type="data" outline="0" fieldPosition="0">
        <references count="2">
          <reference field="4294967294" count="1" selected="0">
            <x v="0"/>
          </reference>
          <reference field="9" count="1" selected="0">
            <x v="0"/>
          </reference>
        </references>
      </pivotArea>
    </chartFormat>
    <chartFormat chart="13" format="112" series="1">
      <pivotArea type="data" outline="0" fieldPosition="0">
        <references count="2">
          <reference field="4294967294" count="1" selected="0">
            <x v="0"/>
          </reference>
          <reference field="9" count="1" selected="0">
            <x v="1"/>
          </reference>
        </references>
      </pivotArea>
    </chartFormat>
    <chartFormat chart="13" format="113" series="1">
      <pivotArea type="data" outline="0" fieldPosition="0">
        <references count="2">
          <reference field="4294967294" count="1" selected="0">
            <x v="0"/>
          </reference>
          <reference field="9" count="1" selected="0">
            <x v="2"/>
          </reference>
        </references>
      </pivotArea>
    </chartFormat>
    <chartFormat chart="13" format="114" series="1">
      <pivotArea type="data" outline="0" fieldPosition="0">
        <references count="2">
          <reference field="4294967294" count="1" selected="0">
            <x v="0"/>
          </reference>
          <reference field="9" count="1" selected="0">
            <x v="3"/>
          </reference>
        </references>
      </pivotArea>
    </chartFormat>
    <chartFormat chart="13" format="115"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397592-FDAA-4056-9DA5-5A418D7EF6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F31"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D2E4D3-1794-4DF2-AF38-EA645D76410E}" name="PvtStat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1:D119"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5546FA-FEC1-4D34-A333-B987CEC0720F}" name="PvtQn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C21"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E94CF3-6B1D-43F8-92EC-63867DF1B9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5B3900-9990-4EAC-A41A-97BFA4F8DEDE}"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45:B50"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4">
    <chartFormat chart="7" format="0" series="1">
      <pivotArea type="data" outline="0" fieldPosition="0">
        <references count="2">
          <reference field="4294967294" count="1" selected="0">
            <x v="0"/>
          </reference>
          <reference field="14" count="1" selected="0">
            <x v="0"/>
          </reference>
        </references>
      </pivotArea>
    </chartFormat>
    <chartFormat chart="7" format="1" series="1">
      <pivotArea type="data" outline="0" fieldPosition="0">
        <references count="2">
          <reference field="4294967294" count="1" selected="0">
            <x v="0"/>
          </reference>
          <reference field="14" count="1" selected="0">
            <x v="1"/>
          </reference>
        </references>
      </pivotArea>
    </chartFormat>
    <chartFormat chart="7" format="2" series="1">
      <pivotArea type="data" outline="0" fieldPosition="0">
        <references count="2">
          <reference field="4294967294" count="1" selected="0">
            <x v="0"/>
          </reference>
          <reference field="14" count="1" selected="0">
            <x v="2"/>
          </reference>
        </references>
      </pivotArea>
    </chartFormat>
    <chartFormat chart="7" format="3" series="1">
      <pivotArea type="data" outline="0" fieldPosition="0">
        <references count="2">
          <reference field="4294967294" count="1" selected="0">
            <x v="0"/>
          </reference>
          <reference field="14" count="1" selected="0">
            <x v="3"/>
          </reference>
        </references>
      </pivotArea>
    </chartFormat>
    <chartFormat chart="12" format="8" series="1">
      <pivotArea type="data" outline="0" fieldPosition="0">
        <references count="2">
          <reference field="4294967294" count="1" selected="0">
            <x v="0"/>
          </reference>
          <reference field="14" count="1" selected="0">
            <x v="0"/>
          </reference>
        </references>
      </pivotArea>
    </chartFormat>
    <chartFormat chart="12" format="9" series="1">
      <pivotArea type="data" outline="0" fieldPosition="0">
        <references count="2">
          <reference field="4294967294" count="1" selected="0">
            <x v="0"/>
          </reference>
          <reference field="14" count="1" selected="0">
            <x v="1"/>
          </reference>
        </references>
      </pivotArea>
    </chartFormat>
    <chartFormat chart="12" format="10" series="1">
      <pivotArea type="data" outline="0" fieldPosition="0">
        <references count="2">
          <reference field="4294967294" count="1" selected="0">
            <x v="0"/>
          </reference>
          <reference field="14" count="1" selected="0">
            <x v="2"/>
          </reference>
        </references>
      </pivotArea>
    </chartFormat>
    <chartFormat chart="12" format="11" series="1">
      <pivotArea type="data" outline="0" fieldPosition="0">
        <references count="2">
          <reference field="4294967294" count="1" selected="0">
            <x v="0"/>
          </reference>
          <reference field="14" count="1" selected="0">
            <x v="3"/>
          </reference>
        </references>
      </pivotArea>
    </chartFormat>
    <chartFormat chart="19"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5" format="2">
      <pivotArea type="data" outline="0" fieldPosition="0">
        <references count="2">
          <reference field="4294967294" count="1" selected="0">
            <x v="0"/>
          </reference>
          <reference field="14" count="1" selected="0">
            <x v="0"/>
          </reference>
        </references>
      </pivotArea>
    </chartFormat>
    <chartFormat chart="25" format="3">
      <pivotArea type="data" outline="0" fieldPosition="0">
        <references count="2">
          <reference field="4294967294" count="1" selected="0">
            <x v="0"/>
          </reference>
          <reference field="14" count="1" selected="0">
            <x v="1"/>
          </reference>
        </references>
      </pivotArea>
    </chartFormat>
    <chartFormat chart="25" format="4">
      <pivotArea type="data" outline="0" fieldPosition="0">
        <references count="2">
          <reference field="4294967294" count="1" selected="0">
            <x v="0"/>
          </reference>
          <reference field="14" count="1" selected="0">
            <x v="2"/>
          </reference>
        </references>
      </pivotArea>
    </chartFormat>
    <chartFormat chart="25" format="5">
      <pivotArea type="data" outline="0" fieldPosition="0">
        <references count="2">
          <reference field="4294967294" count="1" selected="0">
            <x v="0"/>
          </reference>
          <reference field="14" count="1" selected="0">
            <x v="3"/>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4" count="1" selected="0">
            <x v="0"/>
          </reference>
        </references>
      </pivotArea>
    </chartFormat>
    <chartFormat chart="26" format="8">
      <pivotArea type="data" outline="0" fieldPosition="0">
        <references count="2">
          <reference field="4294967294" count="1" selected="0">
            <x v="0"/>
          </reference>
          <reference field="14" count="1" selected="0">
            <x v="1"/>
          </reference>
        </references>
      </pivotArea>
    </chartFormat>
    <chartFormat chart="26" format="9">
      <pivotArea type="data" outline="0" fieldPosition="0">
        <references count="2">
          <reference field="4294967294" count="1" selected="0">
            <x v="0"/>
          </reference>
          <reference field="14" count="1" selected="0">
            <x v="2"/>
          </reference>
        </references>
      </pivotArea>
    </chartFormat>
    <chartFormat chart="26" format="10">
      <pivotArea type="data" outline="0" fieldPosition="0">
        <references count="2">
          <reference field="4294967294" count="1" selected="0">
            <x v="0"/>
          </reference>
          <reference field="14" count="1" selected="0">
            <x v="3"/>
          </reference>
        </references>
      </pivotArea>
    </chartFormat>
    <chartFormat chart="49" format="6" series="1">
      <pivotArea type="data" outline="0" fieldPosition="0">
        <references count="1">
          <reference field="4294967294" count="1" selected="0">
            <x v="0"/>
          </reference>
        </references>
      </pivotArea>
    </chartFormat>
    <chartFormat chart="49" format="7">
      <pivotArea type="data" outline="0" fieldPosition="0">
        <references count="2">
          <reference field="4294967294" count="1" selected="0">
            <x v="0"/>
          </reference>
          <reference field="14" count="1" selected="0">
            <x v="0"/>
          </reference>
        </references>
      </pivotArea>
    </chartFormat>
    <chartFormat chart="49" format="8">
      <pivotArea type="data" outline="0" fieldPosition="0">
        <references count="2">
          <reference field="4294967294" count="1" selected="0">
            <x v="0"/>
          </reference>
          <reference field="14" count="1" selected="0">
            <x v="1"/>
          </reference>
        </references>
      </pivotArea>
    </chartFormat>
    <chartFormat chart="49" format="9">
      <pivotArea type="data" outline="0" fieldPosition="0">
        <references count="2">
          <reference field="4294967294" count="1" selected="0">
            <x v="0"/>
          </reference>
          <reference field="14" count="1" selected="0">
            <x v="2"/>
          </reference>
        </references>
      </pivotArea>
    </chartFormat>
    <chartFormat chart="49"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F1549C0D-A0D5-4498-ABCF-C63930D5F08E}" sourceName="Order Mode">
  <pivotTables>
    <pivotTable tabId="5" name="PvtMonths"/>
    <pivotTable tabId="5" name="PivotTable1"/>
    <pivotTable tabId="5" name="PvtItems"/>
    <pivotTable tabId="5" name="PvtGender"/>
    <pivotTable tabId="5" name="PvtQnA"/>
    <pivotTable tabId="5" name="PivotTable3"/>
    <pivotTable tabId="5" name="PvtState"/>
    <pivotTable tabId="5" name="PvtD2D"/>
    <pivotTable tabId="5" name="PvtTX"/>
  </pivotTables>
  <data>
    <tabular pivotCacheId="2092315190">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53BE8176-884C-49E1-A5A9-01511DE3877D}" sourceName="Gender Value">
  <pivotTables>
    <pivotTable tabId="5" name="PvtMonths"/>
    <pivotTable tabId="5" name="PivotTable1"/>
    <pivotTable tabId="5" name="PvtQnA"/>
    <pivotTable tabId="5" name="PivotTable3"/>
    <pivotTable tabId="5" name="PvtState"/>
    <pivotTable tabId="5" name="PvtD2D"/>
    <pivotTable tabId="5" name="PvtTX"/>
  </pivotTables>
  <data>
    <tabular pivotCacheId="209231519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3596F548-06B5-45FF-8244-BCB40A670125}" cache="Slicer_Order_Mode" caption="Order Mode" style="SlicerStyleDark5" rowHeight="251883"/>
  <slicer name="Gender Value" xr10:uid="{1DEBD355-2157-4331-ADD0-EC58D869BDE5}" cache="Slicer_Gender_Value" caption="Gender Value" style="SlicerStyleDark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B5D8B-3336-4CEB-A0DE-69589CD89A26}">
  <dimension ref="A3:M147"/>
  <sheetViews>
    <sheetView topLeftCell="A31" workbookViewId="0">
      <selection activeCell="A35" sqref="A35"/>
    </sheetView>
  </sheetViews>
  <sheetFormatPr defaultRowHeight="14.5" x14ac:dyDescent="0.35"/>
  <cols>
    <col min="1" max="2" width="12.453125" bestFit="1" customWidth="1"/>
    <col min="3" max="3" width="14.26953125" bestFit="1" customWidth="1"/>
    <col min="4" max="4" width="13.6328125" bestFit="1" customWidth="1"/>
    <col min="5" max="5" width="8.7265625" bestFit="1" customWidth="1"/>
    <col min="6" max="7" width="10.36328125" bestFit="1" customWidth="1"/>
    <col min="8" max="8" width="8.7265625" bestFit="1" customWidth="1"/>
    <col min="9" max="9" width="10.36328125" bestFit="1" customWidth="1"/>
    <col min="10" max="10" width="9.6328125" bestFit="1" customWidth="1"/>
    <col min="11" max="11" width="9.08984375" bestFit="1" customWidth="1"/>
    <col min="12" max="12" width="19.81640625" bestFit="1" customWidth="1"/>
    <col min="13" max="13" width="13.6328125" bestFit="1" customWidth="1"/>
  </cols>
  <sheetData>
    <row r="3" spans="1:11" x14ac:dyDescent="0.35">
      <c r="A3" t="s">
        <v>2542</v>
      </c>
      <c r="B3" t="s">
        <v>2543</v>
      </c>
      <c r="C3" t="s">
        <v>2544</v>
      </c>
      <c r="D3" t="s">
        <v>2545</v>
      </c>
      <c r="E3" t="s">
        <v>2546</v>
      </c>
      <c r="G3" t="s">
        <v>2532</v>
      </c>
      <c r="H3" t="s">
        <v>2547</v>
      </c>
      <c r="I3" t="s">
        <v>4</v>
      </c>
      <c r="J3" t="s">
        <v>2507</v>
      </c>
      <c r="K3" t="s">
        <v>2548</v>
      </c>
    </row>
    <row r="4" spans="1:11" x14ac:dyDescent="0.35">
      <c r="A4">
        <v>2400</v>
      </c>
      <c r="B4">
        <v>11997</v>
      </c>
      <c r="C4">
        <v>649019.80000000144</v>
      </c>
      <c r="D4">
        <v>3.9620833333333332</v>
      </c>
      <c r="E4">
        <v>2.3424999999999998</v>
      </c>
      <c r="G4" t="str">
        <f>TEXT(A4,"#,###")</f>
        <v>2,400</v>
      </c>
      <c r="H4" t="str">
        <f t="shared" ref="H4" si="0">TEXT(B4,"#,###")</f>
        <v>11,997</v>
      </c>
      <c r="I4" t="str">
        <f>TEXT(C4,"$#,##,.0k")</f>
        <v>$649.0k</v>
      </c>
      <c r="J4" t="str">
        <f>TEXT(D4,"#,##, 0.0")</f>
        <v xml:space="preserve"> 4.0</v>
      </c>
      <c r="K4" t="str">
        <f>TEXT(E4,"#,##, 0.0")</f>
        <v xml:space="preserve"> 2.3</v>
      </c>
    </row>
    <row r="7" spans="1:11" x14ac:dyDescent="0.35">
      <c r="A7" s="12" t="s">
        <v>2549</v>
      </c>
      <c r="B7" t="s">
        <v>2543</v>
      </c>
      <c r="C7" t="s">
        <v>2544</v>
      </c>
    </row>
    <row r="8" spans="1:11" x14ac:dyDescent="0.35">
      <c r="A8" s="13">
        <v>1</v>
      </c>
      <c r="B8">
        <v>546</v>
      </c>
      <c r="C8" s="14">
        <v>32413.300000000003</v>
      </c>
    </row>
    <row r="9" spans="1:11" x14ac:dyDescent="0.35">
      <c r="A9" s="13">
        <v>2</v>
      </c>
      <c r="B9">
        <v>905</v>
      </c>
      <c r="C9" s="14">
        <v>49562.999999999993</v>
      </c>
    </row>
    <row r="10" spans="1:11" x14ac:dyDescent="0.35">
      <c r="A10" s="13">
        <v>3</v>
      </c>
      <c r="B10">
        <v>796</v>
      </c>
      <c r="C10" s="14">
        <v>41700.400000000016</v>
      </c>
    </row>
    <row r="11" spans="1:11" x14ac:dyDescent="0.35">
      <c r="A11" s="13">
        <v>4</v>
      </c>
      <c r="B11">
        <v>913</v>
      </c>
      <c r="C11" s="14">
        <v>46782.599999999984</v>
      </c>
    </row>
    <row r="12" spans="1:11" x14ac:dyDescent="0.35">
      <c r="A12" s="13">
        <v>5</v>
      </c>
      <c r="B12">
        <v>844</v>
      </c>
      <c r="C12" s="14">
        <v>42676.100000000006</v>
      </c>
    </row>
    <row r="13" spans="1:11" x14ac:dyDescent="0.35">
      <c r="A13" s="13">
        <v>6</v>
      </c>
      <c r="B13">
        <v>1202</v>
      </c>
      <c r="C13" s="14">
        <v>62910.7</v>
      </c>
    </row>
    <row r="14" spans="1:11" x14ac:dyDescent="0.35">
      <c r="A14" s="13">
        <v>7</v>
      </c>
      <c r="B14">
        <v>935</v>
      </c>
      <c r="C14" s="14">
        <v>50332.200000000004</v>
      </c>
    </row>
    <row r="15" spans="1:11" x14ac:dyDescent="0.35">
      <c r="A15" s="13">
        <v>8</v>
      </c>
      <c r="B15">
        <v>1128</v>
      </c>
      <c r="C15" s="14">
        <v>58760.599999999977</v>
      </c>
    </row>
    <row r="16" spans="1:11" x14ac:dyDescent="0.35">
      <c r="A16" s="13">
        <v>9</v>
      </c>
      <c r="B16">
        <v>1007</v>
      </c>
      <c r="C16" s="14">
        <v>52017.299999999996</v>
      </c>
    </row>
    <row r="17" spans="1:13" x14ac:dyDescent="0.35">
      <c r="A17" s="13">
        <v>10</v>
      </c>
      <c r="B17">
        <v>1128</v>
      </c>
      <c r="C17" s="14">
        <v>64915.700000000033</v>
      </c>
    </row>
    <row r="18" spans="1:13" x14ac:dyDescent="0.35">
      <c r="A18" s="13">
        <v>11</v>
      </c>
      <c r="B18">
        <v>861</v>
      </c>
      <c r="C18" s="14">
        <v>45943.80000000001</v>
      </c>
    </row>
    <row r="19" spans="1:13" x14ac:dyDescent="0.35">
      <c r="A19" s="13">
        <v>12</v>
      </c>
      <c r="B19">
        <v>944</v>
      </c>
      <c r="C19" s="14">
        <v>55077.900000000031</v>
      </c>
    </row>
    <row r="20" spans="1:13" x14ac:dyDescent="0.35">
      <c r="A20" s="13">
        <v>13</v>
      </c>
      <c r="B20">
        <v>788</v>
      </c>
      <c r="C20" s="14">
        <v>45926.19999999999</v>
      </c>
    </row>
    <row r="21" spans="1:13" x14ac:dyDescent="0.35">
      <c r="A21" s="13" t="s">
        <v>2550</v>
      </c>
      <c r="B21">
        <v>11997</v>
      </c>
      <c r="C21" s="14">
        <v>649019.79999999993</v>
      </c>
    </row>
    <row r="23" spans="1:13" ht="15" thickBot="1" x14ac:dyDescent="0.4"/>
    <row r="24" spans="1:13" ht="15.5" thickTop="1" thickBot="1" x14ac:dyDescent="0.4">
      <c r="A24" s="12" t="s">
        <v>2544</v>
      </c>
      <c r="B24" s="12" t="s">
        <v>2551</v>
      </c>
      <c r="I24" s="16"/>
      <c r="J24" s="16" t="str">
        <f>Pivots!B25</f>
        <v>Female</v>
      </c>
      <c r="K24" s="16" t="str">
        <f>Pivots!C25</f>
        <v>Male</v>
      </c>
      <c r="L24" s="16" t="str">
        <f>Pivots!D25</f>
        <v>Other</v>
      </c>
      <c r="M24" s="16" t="str">
        <f>Pivots!E25</f>
        <v>Unknown</v>
      </c>
    </row>
    <row r="25" spans="1:13" ht="15.5" thickTop="1" thickBot="1" x14ac:dyDescent="0.4">
      <c r="A25" s="12" t="s">
        <v>2549</v>
      </c>
      <c r="B25" t="s">
        <v>2552</v>
      </c>
      <c r="C25" t="s">
        <v>2553</v>
      </c>
      <c r="D25" t="s">
        <v>2554</v>
      </c>
      <c r="E25" t="s">
        <v>2555</v>
      </c>
      <c r="F25" t="s">
        <v>2550</v>
      </c>
      <c r="I25" s="16" t="str">
        <f>Pivots!A26</f>
        <v>App</v>
      </c>
      <c r="J25" s="17">
        <f>Pivots!B26</f>
        <v>0.18961825201634841</v>
      </c>
      <c r="K25" s="17">
        <f>Pivots!C26</f>
        <v>0.12262322351336576</v>
      </c>
      <c r="L25" s="17">
        <f>Pivots!D26</f>
        <v>1.060537752469185E-2</v>
      </c>
      <c r="M25" s="17">
        <f>Pivots!E26</f>
        <v>3.0599220547662797E-2</v>
      </c>
    </row>
    <row r="26" spans="1:13" ht="15.5" thickTop="1" thickBot="1" x14ac:dyDescent="0.4">
      <c r="A26" s="13" t="s">
        <v>18</v>
      </c>
      <c r="B26" s="15">
        <v>0.18961825201634841</v>
      </c>
      <c r="C26" s="15">
        <v>0.12262322351336576</v>
      </c>
      <c r="D26" s="15">
        <v>1.060537752469185E-2</v>
      </c>
      <c r="E26" s="15">
        <v>3.0599220547662797E-2</v>
      </c>
      <c r="F26" s="15">
        <v>0.35344607360206881</v>
      </c>
      <c r="I26" s="16" t="str">
        <f>Pivots!A27</f>
        <v>Instagram</v>
      </c>
      <c r="J26" s="17">
        <f>Pivots!B27</f>
        <v>5.0283982091147303E-2</v>
      </c>
      <c r="K26" s="17">
        <f>Pivots!C27</f>
        <v>4.3060781812819873E-2</v>
      </c>
      <c r="L26" s="17">
        <f>Pivots!D27</f>
        <v>1.5320025675641944E-3</v>
      </c>
      <c r="M26" s="17">
        <f>Pivots!E27</f>
        <v>1.7794988689097006E-2</v>
      </c>
    </row>
    <row r="27" spans="1:13" ht="15.5" thickTop="1" thickBot="1" x14ac:dyDescent="0.4">
      <c r="A27" s="13" t="s">
        <v>51</v>
      </c>
      <c r="B27" s="15">
        <v>5.0283982091147303E-2</v>
      </c>
      <c r="C27" s="15">
        <v>4.3060781812819873E-2</v>
      </c>
      <c r="D27" s="15">
        <v>1.5320025675641944E-3</v>
      </c>
      <c r="E27" s="15">
        <v>1.7794988689097006E-2</v>
      </c>
      <c r="F27" s="15">
        <v>0.11267175516062837</v>
      </c>
      <c r="I27" s="16" t="str">
        <f>Pivots!A28</f>
        <v>Partner App</v>
      </c>
      <c r="J27" s="17">
        <f>Pivots!B28</f>
        <v>6.3496059750411282E-2</v>
      </c>
      <c r="K27" s="17">
        <f>Pivots!C28</f>
        <v>4.6071629863988765E-2</v>
      </c>
      <c r="L27" s="17">
        <f>Pivots!D28</f>
        <v>2.306247051322625E-3</v>
      </c>
      <c r="M27" s="17">
        <f>Pivots!E28</f>
        <v>3.8927934093844286E-3</v>
      </c>
    </row>
    <row r="28" spans="1:13" ht="15.5" thickTop="1" thickBot="1" x14ac:dyDescent="0.4">
      <c r="A28" s="13" t="s">
        <v>70</v>
      </c>
      <c r="B28" s="15">
        <v>6.3496059750411282E-2</v>
      </c>
      <c r="C28" s="15">
        <v>4.6071629863988765E-2</v>
      </c>
      <c r="D28" s="15">
        <v>2.306247051322625E-3</v>
      </c>
      <c r="E28" s="15">
        <v>3.8927934093844286E-3</v>
      </c>
      <c r="F28" s="15">
        <v>0.11576673007510711</v>
      </c>
      <c r="I28" s="16" t="str">
        <f>Pivots!A29</f>
        <v>Target.com</v>
      </c>
      <c r="J28" s="17">
        <f>Pivots!B29</f>
        <v>9.6337892927149532E-2</v>
      </c>
      <c r="K28" s="17">
        <f>Pivots!C29</f>
        <v>6.7920115842382611E-2</v>
      </c>
      <c r="L28" s="17">
        <f>Pivots!D29</f>
        <v>5.4979832664581261E-3</v>
      </c>
      <c r="M28" s="17">
        <f>Pivots!E29</f>
        <v>1.2933041488102518E-2</v>
      </c>
    </row>
    <row r="29" spans="1:13" ht="15" thickTop="1" x14ac:dyDescent="0.35">
      <c r="A29" s="13" t="s">
        <v>40</v>
      </c>
      <c r="B29" s="15">
        <v>9.6337892927149532E-2</v>
      </c>
      <c r="C29" s="15">
        <v>6.7920115842382611E-2</v>
      </c>
      <c r="D29" s="15">
        <v>5.4979832664581261E-3</v>
      </c>
      <c r="E29" s="15">
        <v>1.2933041488102518E-2</v>
      </c>
      <c r="F29" s="15">
        <v>0.1826890335240928</v>
      </c>
    </row>
    <row r="30" spans="1:13" x14ac:dyDescent="0.35">
      <c r="A30" s="13" t="s">
        <v>35</v>
      </c>
      <c r="B30" s="15">
        <v>0.12522098709469262</v>
      </c>
      <c r="C30" s="15">
        <v>9.1492740283116228E-2</v>
      </c>
      <c r="D30" s="15">
        <v>6.3042760790965081E-3</v>
      </c>
      <c r="E30" s="15">
        <v>1.2408404181197551E-2</v>
      </c>
      <c r="F30" s="15">
        <v>0.23542640763810288</v>
      </c>
    </row>
    <row r="31" spans="1:13" x14ac:dyDescent="0.35">
      <c r="A31" s="13" t="s">
        <v>2550</v>
      </c>
      <c r="B31" s="15">
        <v>0.52495717387974916</v>
      </c>
      <c r="C31" s="15">
        <v>0.3711684913156732</v>
      </c>
      <c r="D31" s="15">
        <v>2.6245886489133303E-2</v>
      </c>
      <c r="E31" s="15">
        <v>7.7628448315444312E-2</v>
      </c>
      <c r="F31" s="15">
        <v>1</v>
      </c>
    </row>
    <row r="34" spans="1:9" x14ac:dyDescent="0.35">
      <c r="A34" s="12" t="s">
        <v>2549</v>
      </c>
      <c r="B34" t="s">
        <v>2542</v>
      </c>
      <c r="D34" s="12" t="s">
        <v>2543</v>
      </c>
      <c r="E34" s="12" t="s">
        <v>2551</v>
      </c>
    </row>
    <row r="35" spans="1:9" x14ac:dyDescent="0.35">
      <c r="A35" s="13">
        <v>1</v>
      </c>
      <c r="B35">
        <v>397</v>
      </c>
      <c r="D35" s="12" t="s">
        <v>2549</v>
      </c>
      <c r="E35" t="s">
        <v>2552</v>
      </c>
      <c r="F35" t="s">
        <v>2553</v>
      </c>
      <c r="G35" t="s">
        <v>2554</v>
      </c>
      <c r="H35" t="s">
        <v>2555</v>
      </c>
      <c r="I35" t="s">
        <v>2550</v>
      </c>
    </row>
    <row r="36" spans="1:9" x14ac:dyDescent="0.35">
      <c r="A36" s="13">
        <v>2</v>
      </c>
      <c r="B36">
        <v>540</v>
      </c>
      <c r="D36" s="13" t="s">
        <v>44</v>
      </c>
      <c r="E36">
        <v>744</v>
      </c>
      <c r="F36">
        <v>713</v>
      </c>
      <c r="G36">
        <v>90</v>
      </c>
      <c r="H36">
        <v>98</v>
      </c>
      <c r="I36">
        <v>1645</v>
      </c>
    </row>
    <row r="37" spans="1:9" x14ac:dyDescent="0.35">
      <c r="A37" s="13">
        <v>3</v>
      </c>
      <c r="B37">
        <v>375</v>
      </c>
      <c r="D37" s="13" t="s">
        <v>39</v>
      </c>
      <c r="E37">
        <v>716</v>
      </c>
      <c r="F37">
        <v>598</v>
      </c>
      <c r="G37">
        <v>18</v>
      </c>
      <c r="H37">
        <v>214</v>
      </c>
      <c r="I37">
        <v>1546</v>
      </c>
    </row>
    <row r="38" spans="1:9" x14ac:dyDescent="0.35">
      <c r="A38" s="13">
        <v>4</v>
      </c>
      <c r="B38">
        <v>246</v>
      </c>
      <c r="D38" s="13" t="s">
        <v>26</v>
      </c>
      <c r="E38">
        <v>627</v>
      </c>
      <c r="F38">
        <v>393</v>
      </c>
      <c r="G38">
        <v>29</v>
      </c>
      <c r="H38">
        <v>137</v>
      </c>
      <c r="I38">
        <v>1186</v>
      </c>
    </row>
    <row r="39" spans="1:9" x14ac:dyDescent="0.35">
      <c r="A39" s="13">
        <v>5</v>
      </c>
      <c r="B39">
        <v>195</v>
      </c>
      <c r="D39" s="13" t="s">
        <v>22</v>
      </c>
      <c r="E39">
        <v>568</v>
      </c>
      <c r="F39">
        <v>306</v>
      </c>
      <c r="G39">
        <v>22</v>
      </c>
      <c r="H39">
        <v>16</v>
      </c>
      <c r="I39">
        <v>912</v>
      </c>
    </row>
    <row r="40" spans="1:9" x14ac:dyDescent="0.35">
      <c r="A40" s="13" t="s">
        <v>2556</v>
      </c>
      <c r="B40">
        <v>414</v>
      </c>
      <c r="D40" s="13" t="s">
        <v>54</v>
      </c>
      <c r="E40">
        <v>482</v>
      </c>
      <c r="F40">
        <v>295</v>
      </c>
      <c r="G40">
        <v>8</v>
      </c>
      <c r="H40">
        <v>22</v>
      </c>
      <c r="I40">
        <v>807</v>
      </c>
    </row>
    <row r="41" spans="1:9" x14ac:dyDescent="0.35">
      <c r="A41" s="13" t="s">
        <v>2557</v>
      </c>
      <c r="B41">
        <v>233</v>
      </c>
      <c r="D41" s="13" t="s">
        <v>16</v>
      </c>
      <c r="E41">
        <v>428</v>
      </c>
      <c r="F41">
        <v>293</v>
      </c>
      <c r="H41">
        <v>24</v>
      </c>
      <c r="I41">
        <v>745</v>
      </c>
    </row>
    <row r="42" spans="1:9" x14ac:dyDescent="0.35">
      <c r="A42" s="13" t="s">
        <v>2550</v>
      </c>
      <c r="B42">
        <v>2400</v>
      </c>
      <c r="D42" s="13" t="s">
        <v>46</v>
      </c>
      <c r="E42">
        <v>445</v>
      </c>
      <c r="F42">
        <v>202</v>
      </c>
      <c r="G42">
        <v>14</v>
      </c>
      <c r="H42">
        <v>39</v>
      </c>
      <c r="I42">
        <v>700</v>
      </c>
    </row>
    <row r="43" spans="1:9" x14ac:dyDescent="0.35">
      <c r="D43" s="13" t="s">
        <v>32</v>
      </c>
      <c r="E43">
        <v>431</v>
      </c>
      <c r="F43">
        <v>187</v>
      </c>
      <c r="G43">
        <v>14</v>
      </c>
      <c r="H43">
        <v>15</v>
      </c>
      <c r="I43">
        <v>647</v>
      </c>
    </row>
    <row r="44" spans="1:9" x14ac:dyDescent="0.35">
      <c r="D44" s="13" t="s">
        <v>42</v>
      </c>
      <c r="E44">
        <v>264</v>
      </c>
      <c r="F44">
        <v>318</v>
      </c>
      <c r="G44">
        <v>15</v>
      </c>
      <c r="H44">
        <v>9</v>
      </c>
      <c r="I44">
        <v>606</v>
      </c>
    </row>
    <row r="45" spans="1:9" x14ac:dyDescent="0.35">
      <c r="A45" s="12" t="s">
        <v>2549</v>
      </c>
      <c r="B45" t="s">
        <v>2543</v>
      </c>
      <c r="D45" s="13" t="s">
        <v>37</v>
      </c>
      <c r="E45">
        <v>296</v>
      </c>
      <c r="F45">
        <v>275</v>
      </c>
      <c r="G45">
        <v>9</v>
      </c>
      <c r="H45">
        <v>23</v>
      </c>
      <c r="I45">
        <v>603</v>
      </c>
    </row>
    <row r="46" spans="1:9" x14ac:dyDescent="0.35">
      <c r="A46" s="13" t="s">
        <v>2552</v>
      </c>
      <c r="B46">
        <v>6272</v>
      </c>
      <c r="D46" s="13" t="s">
        <v>123</v>
      </c>
      <c r="E46">
        <v>153</v>
      </c>
      <c r="F46">
        <v>246</v>
      </c>
      <c r="G46">
        <v>30</v>
      </c>
      <c r="H46">
        <v>8</v>
      </c>
      <c r="I46">
        <v>437</v>
      </c>
    </row>
    <row r="47" spans="1:9" x14ac:dyDescent="0.35">
      <c r="A47" s="13" t="s">
        <v>2553</v>
      </c>
      <c r="B47">
        <v>4672</v>
      </c>
      <c r="D47" s="13" t="s">
        <v>146</v>
      </c>
      <c r="E47">
        <v>189</v>
      </c>
      <c r="F47">
        <v>168</v>
      </c>
      <c r="G47">
        <v>10</v>
      </c>
      <c r="H47">
        <v>31</v>
      </c>
      <c r="I47">
        <v>398</v>
      </c>
    </row>
    <row r="48" spans="1:9" x14ac:dyDescent="0.35">
      <c r="A48" s="13" t="s">
        <v>2554</v>
      </c>
      <c r="B48">
        <v>317</v>
      </c>
      <c r="D48" s="13" t="s">
        <v>69</v>
      </c>
      <c r="E48">
        <v>234</v>
      </c>
      <c r="F48">
        <v>93</v>
      </c>
      <c r="G48">
        <v>19</v>
      </c>
      <c r="H48">
        <v>24</v>
      </c>
      <c r="I48">
        <v>370</v>
      </c>
    </row>
    <row r="49" spans="1:13" x14ac:dyDescent="0.35">
      <c r="A49" s="13" t="s">
        <v>2555</v>
      </c>
      <c r="B49">
        <v>736</v>
      </c>
      <c r="D49" s="13" t="s">
        <v>30</v>
      </c>
      <c r="E49">
        <v>146</v>
      </c>
      <c r="F49">
        <v>94</v>
      </c>
      <c r="G49">
        <v>4</v>
      </c>
      <c r="H49">
        <v>28</v>
      </c>
      <c r="I49">
        <v>272</v>
      </c>
    </row>
    <row r="50" spans="1:13" x14ac:dyDescent="0.35">
      <c r="A50" s="13" t="s">
        <v>2550</v>
      </c>
      <c r="B50">
        <v>11997</v>
      </c>
      <c r="D50" s="13" t="s">
        <v>135</v>
      </c>
      <c r="E50">
        <v>127</v>
      </c>
      <c r="F50">
        <v>118</v>
      </c>
      <c r="G50">
        <v>13</v>
      </c>
      <c r="H50">
        <v>12</v>
      </c>
      <c r="I50">
        <v>270</v>
      </c>
    </row>
    <row r="51" spans="1:13" x14ac:dyDescent="0.35">
      <c r="D51" s="13" t="s">
        <v>67</v>
      </c>
      <c r="E51">
        <v>179</v>
      </c>
      <c r="F51">
        <v>76</v>
      </c>
      <c r="G51">
        <v>3</v>
      </c>
      <c r="I51">
        <v>258</v>
      </c>
    </row>
    <row r="52" spans="1:13" x14ac:dyDescent="0.35">
      <c r="D52" s="13" t="s">
        <v>128</v>
      </c>
      <c r="E52">
        <v>99</v>
      </c>
      <c r="F52">
        <v>69</v>
      </c>
      <c r="G52">
        <v>3</v>
      </c>
      <c r="H52">
        <v>24</v>
      </c>
      <c r="I52">
        <v>195</v>
      </c>
    </row>
    <row r="53" spans="1:13" x14ac:dyDescent="0.35">
      <c r="D53" s="13" t="s">
        <v>76</v>
      </c>
      <c r="E53">
        <v>75</v>
      </c>
      <c r="F53">
        <v>103</v>
      </c>
      <c r="G53">
        <v>4</v>
      </c>
      <c r="H53">
        <v>6</v>
      </c>
      <c r="I53">
        <v>188</v>
      </c>
    </row>
    <row r="54" spans="1:13" x14ac:dyDescent="0.35">
      <c r="D54" s="13" t="s">
        <v>81</v>
      </c>
      <c r="E54">
        <v>43</v>
      </c>
      <c r="F54">
        <v>90</v>
      </c>
      <c r="G54">
        <v>8</v>
      </c>
      <c r="H54">
        <v>6</v>
      </c>
      <c r="I54">
        <v>147</v>
      </c>
    </row>
    <row r="55" spans="1:13" x14ac:dyDescent="0.35">
      <c r="D55" s="13" t="s">
        <v>171</v>
      </c>
      <c r="E55">
        <v>26</v>
      </c>
      <c r="F55">
        <v>35</v>
      </c>
      <c r="G55">
        <v>4</v>
      </c>
      <c r="I55">
        <v>65</v>
      </c>
    </row>
    <row r="56" spans="1:13" x14ac:dyDescent="0.35">
      <c r="D56" s="13" t="s">
        <v>2550</v>
      </c>
      <c r="E56">
        <v>6272</v>
      </c>
      <c r="F56">
        <v>4672</v>
      </c>
      <c r="G56">
        <v>317</v>
      </c>
      <c r="H56">
        <v>736</v>
      </c>
      <c r="I56">
        <v>11997</v>
      </c>
    </row>
    <row r="61" spans="1:13" x14ac:dyDescent="0.35">
      <c r="A61" s="12" t="s">
        <v>10</v>
      </c>
      <c r="B61" s="12" t="s">
        <v>11</v>
      </c>
      <c r="C61" t="s">
        <v>2543</v>
      </c>
      <c r="D61" t="s">
        <v>2544</v>
      </c>
      <c r="F61" s="18" t="s">
        <v>10</v>
      </c>
      <c r="G61" s="18" t="s">
        <v>11</v>
      </c>
      <c r="H61" s="18" t="s">
        <v>2543</v>
      </c>
      <c r="K61" s="18" t="s">
        <v>10</v>
      </c>
      <c r="L61" s="18" t="s">
        <v>11</v>
      </c>
      <c r="M61" s="18" t="s">
        <v>2544</v>
      </c>
    </row>
    <row r="62" spans="1:13" x14ac:dyDescent="0.35">
      <c r="A62" t="s">
        <v>19</v>
      </c>
      <c r="B62" t="s">
        <v>115</v>
      </c>
      <c r="C62">
        <v>579</v>
      </c>
      <c r="D62">
        <v>31884.999999999996</v>
      </c>
      <c r="F62" s="19" t="str">
        <f>IF(A62="","",A62)</f>
        <v>California</v>
      </c>
      <c r="G62" t="s">
        <v>115</v>
      </c>
      <c r="H62">
        <v>579</v>
      </c>
      <c r="K62" s="19" t="str">
        <f>IF(A62="","",A62)</f>
        <v>California</v>
      </c>
      <c r="L62" t="s">
        <v>115</v>
      </c>
      <c r="M62">
        <v>31884.999999999996</v>
      </c>
    </row>
    <row r="63" spans="1:13" x14ac:dyDescent="0.35">
      <c r="A63" t="s">
        <v>19</v>
      </c>
      <c r="B63" t="s">
        <v>20</v>
      </c>
      <c r="C63">
        <v>1</v>
      </c>
      <c r="D63">
        <v>10.9</v>
      </c>
      <c r="F63" s="19" t="str">
        <f>IF(A63="","",A63)</f>
        <v>California</v>
      </c>
      <c r="G63" t="s">
        <v>20</v>
      </c>
      <c r="H63">
        <v>1</v>
      </c>
      <c r="K63" s="19" t="str">
        <f t="shared" ref="K63:K119" si="1">IF(A63="","",A63)</f>
        <v>California</v>
      </c>
      <c r="L63" t="s">
        <v>20</v>
      </c>
      <c r="M63">
        <v>10.9</v>
      </c>
    </row>
    <row r="64" spans="1:13" x14ac:dyDescent="0.35">
      <c r="A64" t="s">
        <v>19</v>
      </c>
      <c r="B64" t="s">
        <v>641</v>
      </c>
      <c r="C64">
        <v>9</v>
      </c>
      <c r="D64">
        <v>800.3</v>
      </c>
      <c r="F64" s="19" t="str">
        <f t="shared" ref="F64:F119" si="2">IF(A64="","",A64)</f>
        <v>California</v>
      </c>
      <c r="G64" t="s">
        <v>641</v>
      </c>
      <c r="H64">
        <v>9</v>
      </c>
      <c r="K64" s="19" t="str">
        <f t="shared" si="1"/>
        <v>California</v>
      </c>
      <c r="L64" t="s">
        <v>641</v>
      </c>
      <c r="M64">
        <v>800.3</v>
      </c>
    </row>
    <row r="65" spans="1:13" x14ac:dyDescent="0.35">
      <c r="A65" t="s">
        <v>19</v>
      </c>
      <c r="B65" t="s">
        <v>967</v>
      </c>
      <c r="C65">
        <v>35</v>
      </c>
      <c r="D65">
        <v>1062.5999999999999</v>
      </c>
      <c r="F65" s="19" t="str">
        <f t="shared" si="2"/>
        <v>California</v>
      </c>
      <c r="G65" t="s">
        <v>967</v>
      </c>
      <c r="H65">
        <v>35</v>
      </c>
      <c r="K65" s="19" t="str">
        <f t="shared" si="1"/>
        <v>California</v>
      </c>
      <c r="L65" t="s">
        <v>967</v>
      </c>
      <c r="M65">
        <v>1062.5999999999999</v>
      </c>
    </row>
    <row r="66" spans="1:13" x14ac:dyDescent="0.35">
      <c r="A66" t="s">
        <v>19</v>
      </c>
      <c r="B66" t="s">
        <v>84</v>
      </c>
      <c r="C66">
        <v>12</v>
      </c>
      <c r="D66">
        <v>326.20000000000005</v>
      </c>
      <c r="F66" s="19" t="str">
        <f t="shared" si="2"/>
        <v>California</v>
      </c>
      <c r="G66" t="s">
        <v>84</v>
      </c>
      <c r="H66">
        <v>12</v>
      </c>
      <c r="K66" s="19" t="str">
        <f t="shared" si="1"/>
        <v>California</v>
      </c>
      <c r="L66" t="s">
        <v>84</v>
      </c>
      <c r="M66">
        <v>326.20000000000005</v>
      </c>
    </row>
    <row r="67" spans="1:13" x14ac:dyDescent="0.35">
      <c r="A67" t="s">
        <v>19</v>
      </c>
      <c r="B67" t="s">
        <v>1383</v>
      </c>
      <c r="C67">
        <v>4</v>
      </c>
      <c r="D67">
        <v>167.5</v>
      </c>
      <c r="F67" s="19" t="str">
        <f t="shared" si="2"/>
        <v>California</v>
      </c>
      <c r="G67" t="s">
        <v>1383</v>
      </c>
      <c r="H67">
        <v>4</v>
      </c>
      <c r="K67" s="19" t="str">
        <f t="shared" si="1"/>
        <v>California</v>
      </c>
      <c r="L67" t="s">
        <v>1383</v>
      </c>
      <c r="M67">
        <v>167.5</v>
      </c>
    </row>
    <row r="68" spans="1:13" x14ac:dyDescent="0.35">
      <c r="A68" t="s">
        <v>19</v>
      </c>
      <c r="B68" t="s">
        <v>24</v>
      </c>
      <c r="C68">
        <v>341</v>
      </c>
      <c r="D68">
        <v>16168.7</v>
      </c>
      <c r="F68" s="19" t="str">
        <f t="shared" si="2"/>
        <v>California</v>
      </c>
      <c r="G68" t="s">
        <v>24</v>
      </c>
      <c r="H68">
        <v>341</v>
      </c>
      <c r="K68" s="19" t="str">
        <f t="shared" si="1"/>
        <v>California</v>
      </c>
      <c r="L68" t="s">
        <v>24</v>
      </c>
      <c r="M68">
        <v>16168.7</v>
      </c>
    </row>
    <row r="69" spans="1:13" x14ac:dyDescent="0.35">
      <c r="A69" t="s">
        <v>19</v>
      </c>
      <c r="B69" t="s">
        <v>2204</v>
      </c>
      <c r="C69">
        <v>13</v>
      </c>
      <c r="D69">
        <v>322.40000000000003</v>
      </c>
      <c r="F69" s="19" t="str">
        <f t="shared" si="2"/>
        <v>California</v>
      </c>
      <c r="G69" t="s">
        <v>2204</v>
      </c>
      <c r="H69">
        <v>13</v>
      </c>
      <c r="K69" s="19" t="str">
        <f t="shared" si="1"/>
        <v>California</v>
      </c>
      <c r="L69" t="s">
        <v>2204</v>
      </c>
      <c r="M69">
        <v>322.40000000000003</v>
      </c>
    </row>
    <row r="70" spans="1:13" x14ac:dyDescent="0.35">
      <c r="A70" t="s">
        <v>19</v>
      </c>
      <c r="B70" t="s">
        <v>437</v>
      </c>
      <c r="C70">
        <v>31</v>
      </c>
      <c r="D70">
        <v>2092.8000000000002</v>
      </c>
      <c r="F70" s="19" t="str">
        <f t="shared" si="2"/>
        <v>California</v>
      </c>
      <c r="G70" t="s">
        <v>437</v>
      </c>
      <c r="H70">
        <v>31</v>
      </c>
      <c r="K70" s="19" t="str">
        <f t="shared" si="1"/>
        <v>California</v>
      </c>
      <c r="L70" t="s">
        <v>437</v>
      </c>
      <c r="M70">
        <v>2092.8000000000002</v>
      </c>
    </row>
    <row r="71" spans="1:13" x14ac:dyDescent="0.35">
      <c r="A71" t="s">
        <v>19</v>
      </c>
      <c r="B71" t="s">
        <v>28</v>
      </c>
      <c r="C71">
        <v>279</v>
      </c>
      <c r="D71">
        <v>12662.500000000002</v>
      </c>
      <c r="F71" s="19" t="str">
        <f t="shared" si="2"/>
        <v>California</v>
      </c>
      <c r="G71" t="s">
        <v>28</v>
      </c>
      <c r="H71">
        <v>279</v>
      </c>
      <c r="K71" s="19" t="str">
        <f t="shared" si="1"/>
        <v>California</v>
      </c>
      <c r="L71" t="s">
        <v>28</v>
      </c>
      <c r="M71">
        <v>12662.500000000002</v>
      </c>
    </row>
    <row r="72" spans="1:13" x14ac:dyDescent="0.35">
      <c r="A72" t="s">
        <v>19</v>
      </c>
      <c r="B72" t="s">
        <v>208</v>
      </c>
      <c r="C72">
        <v>9</v>
      </c>
      <c r="D72">
        <v>343.2</v>
      </c>
      <c r="F72" s="19" t="str">
        <f t="shared" si="2"/>
        <v>California</v>
      </c>
      <c r="G72" t="s">
        <v>208</v>
      </c>
      <c r="H72">
        <v>9</v>
      </c>
      <c r="K72" s="19" t="str">
        <f t="shared" si="1"/>
        <v>California</v>
      </c>
      <c r="L72" t="s">
        <v>208</v>
      </c>
      <c r="M72">
        <v>343.2</v>
      </c>
    </row>
    <row r="73" spans="1:13" x14ac:dyDescent="0.35">
      <c r="A73" t="s">
        <v>19</v>
      </c>
      <c r="B73" t="s">
        <v>587</v>
      </c>
      <c r="C73">
        <v>49</v>
      </c>
      <c r="D73">
        <v>2188.2999999999997</v>
      </c>
      <c r="F73" s="19" t="str">
        <f t="shared" si="2"/>
        <v>California</v>
      </c>
      <c r="G73" t="s">
        <v>587</v>
      </c>
      <c r="H73">
        <v>49</v>
      </c>
      <c r="K73" s="19" t="str">
        <f t="shared" si="1"/>
        <v>California</v>
      </c>
      <c r="L73" t="s">
        <v>587</v>
      </c>
      <c r="M73">
        <v>2188.2999999999997</v>
      </c>
    </row>
    <row r="74" spans="1:13" x14ac:dyDescent="0.35">
      <c r="A74" t="s">
        <v>19</v>
      </c>
      <c r="B74" t="s">
        <v>331</v>
      </c>
      <c r="C74">
        <v>59</v>
      </c>
      <c r="D74">
        <v>2661.5999999999995</v>
      </c>
      <c r="F74" s="19" t="str">
        <f t="shared" si="2"/>
        <v>California</v>
      </c>
      <c r="G74" t="s">
        <v>331</v>
      </c>
      <c r="H74">
        <v>59</v>
      </c>
      <c r="K74" s="19" t="str">
        <f t="shared" si="1"/>
        <v>California</v>
      </c>
      <c r="L74" t="s">
        <v>331</v>
      </c>
      <c r="M74">
        <v>2661.5999999999995</v>
      </c>
    </row>
    <row r="75" spans="1:13" x14ac:dyDescent="0.35">
      <c r="A75" t="s">
        <v>19</v>
      </c>
      <c r="B75" t="s">
        <v>86</v>
      </c>
      <c r="C75">
        <v>8</v>
      </c>
      <c r="D75">
        <v>887.5</v>
      </c>
      <c r="F75" s="19" t="str">
        <f t="shared" si="2"/>
        <v>California</v>
      </c>
      <c r="G75" t="s">
        <v>86</v>
      </c>
      <c r="H75">
        <v>8</v>
      </c>
      <c r="K75" s="19" t="str">
        <f t="shared" si="1"/>
        <v>California</v>
      </c>
      <c r="L75" t="s">
        <v>86</v>
      </c>
      <c r="M75">
        <v>887.5</v>
      </c>
    </row>
    <row r="76" spans="1:13" x14ac:dyDescent="0.35">
      <c r="A76" t="s">
        <v>19</v>
      </c>
      <c r="B76" t="s">
        <v>147</v>
      </c>
      <c r="C76">
        <v>222</v>
      </c>
      <c r="D76">
        <v>11354.199999999993</v>
      </c>
      <c r="F76" s="19" t="str">
        <f t="shared" si="2"/>
        <v>California</v>
      </c>
      <c r="G76" t="s">
        <v>147</v>
      </c>
      <c r="H76">
        <v>222</v>
      </c>
      <c r="K76" s="19" t="str">
        <f t="shared" si="1"/>
        <v>California</v>
      </c>
      <c r="L76" t="s">
        <v>147</v>
      </c>
      <c r="M76">
        <v>11354.199999999993</v>
      </c>
    </row>
    <row r="77" spans="1:13" x14ac:dyDescent="0.35">
      <c r="A77" t="s">
        <v>19</v>
      </c>
      <c r="B77" t="s">
        <v>334</v>
      </c>
      <c r="C77">
        <v>36</v>
      </c>
      <c r="D77">
        <v>1558.4</v>
      </c>
      <c r="F77" s="19" t="str">
        <f t="shared" si="2"/>
        <v>California</v>
      </c>
      <c r="G77" t="s">
        <v>334</v>
      </c>
      <c r="H77">
        <v>36</v>
      </c>
      <c r="K77" s="19" t="str">
        <f t="shared" si="1"/>
        <v>California</v>
      </c>
      <c r="L77" t="s">
        <v>334</v>
      </c>
      <c r="M77">
        <v>1558.4</v>
      </c>
    </row>
    <row r="78" spans="1:13" x14ac:dyDescent="0.35">
      <c r="A78" t="s">
        <v>19</v>
      </c>
      <c r="B78" t="s">
        <v>949</v>
      </c>
      <c r="C78">
        <v>30</v>
      </c>
      <c r="D78">
        <v>2223.9</v>
      </c>
      <c r="F78" s="19" t="str">
        <f t="shared" si="2"/>
        <v>California</v>
      </c>
      <c r="G78" t="s">
        <v>949</v>
      </c>
      <c r="H78">
        <v>30</v>
      </c>
      <c r="K78" s="19" t="str">
        <f t="shared" si="1"/>
        <v>California</v>
      </c>
      <c r="L78" t="s">
        <v>949</v>
      </c>
      <c r="M78">
        <v>2223.9</v>
      </c>
    </row>
    <row r="79" spans="1:13" x14ac:dyDescent="0.35">
      <c r="A79" t="s">
        <v>19</v>
      </c>
      <c r="B79" t="s">
        <v>1426</v>
      </c>
      <c r="C79">
        <v>1</v>
      </c>
      <c r="D79">
        <v>26.2</v>
      </c>
      <c r="F79" s="19" t="str">
        <f t="shared" si="2"/>
        <v>California</v>
      </c>
      <c r="G79" t="s">
        <v>1426</v>
      </c>
      <c r="H79">
        <v>1</v>
      </c>
      <c r="K79" s="19" t="str">
        <f t="shared" si="1"/>
        <v>California</v>
      </c>
      <c r="L79" t="s">
        <v>1426</v>
      </c>
      <c r="M79">
        <v>26.2</v>
      </c>
    </row>
    <row r="80" spans="1:13" x14ac:dyDescent="0.35">
      <c r="A80" t="s">
        <v>19</v>
      </c>
      <c r="B80" t="s">
        <v>33</v>
      </c>
      <c r="C80">
        <v>3991</v>
      </c>
      <c r="D80">
        <v>215551.19999999981</v>
      </c>
      <c r="F80" s="19" t="str">
        <f t="shared" si="2"/>
        <v>California</v>
      </c>
      <c r="G80" t="s">
        <v>33</v>
      </c>
      <c r="H80">
        <v>3991</v>
      </c>
      <c r="K80" s="19" t="str">
        <f t="shared" si="1"/>
        <v>California</v>
      </c>
      <c r="L80" t="s">
        <v>33</v>
      </c>
      <c r="M80">
        <v>215551.19999999981</v>
      </c>
    </row>
    <row r="81" spans="1:13" x14ac:dyDescent="0.35">
      <c r="A81" t="s">
        <v>19</v>
      </c>
      <c r="B81" t="s">
        <v>364</v>
      </c>
      <c r="C81">
        <v>45</v>
      </c>
      <c r="D81">
        <v>2687.3999999999996</v>
      </c>
      <c r="F81" s="19" t="str">
        <f t="shared" si="2"/>
        <v>California</v>
      </c>
      <c r="G81" t="s">
        <v>364</v>
      </c>
      <c r="H81">
        <v>45</v>
      </c>
      <c r="K81" s="19" t="str">
        <f t="shared" si="1"/>
        <v>California</v>
      </c>
      <c r="L81" t="s">
        <v>364</v>
      </c>
      <c r="M81">
        <v>2687.3999999999996</v>
      </c>
    </row>
    <row r="82" spans="1:13" x14ac:dyDescent="0.35">
      <c r="A82" t="s">
        <v>19</v>
      </c>
      <c r="B82" t="s">
        <v>545</v>
      </c>
      <c r="C82">
        <v>39</v>
      </c>
      <c r="D82">
        <v>1463.3000000000002</v>
      </c>
      <c r="F82" s="19" t="str">
        <f t="shared" si="2"/>
        <v>California</v>
      </c>
      <c r="G82" t="s">
        <v>545</v>
      </c>
      <c r="H82">
        <v>39</v>
      </c>
      <c r="K82" s="19" t="str">
        <f t="shared" si="1"/>
        <v>California</v>
      </c>
      <c r="L82" t="s">
        <v>545</v>
      </c>
      <c r="M82">
        <v>1463.3000000000002</v>
      </c>
    </row>
    <row r="83" spans="1:13" x14ac:dyDescent="0.35">
      <c r="A83" t="s">
        <v>19</v>
      </c>
      <c r="B83" t="s">
        <v>416</v>
      </c>
      <c r="C83">
        <v>6</v>
      </c>
      <c r="D83">
        <v>445.79999999999995</v>
      </c>
      <c r="F83" s="19" t="str">
        <f t="shared" si="2"/>
        <v>California</v>
      </c>
      <c r="G83" t="s">
        <v>416</v>
      </c>
      <c r="H83">
        <v>6</v>
      </c>
      <c r="K83" s="19" t="str">
        <f t="shared" si="1"/>
        <v>California</v>
      </c>
      <c r="L83" t="s">
        <v>416</v>
      </c>
      <c r="M83">
        <v>445.79999999999995</v>
      </c>
    </row>
    <row r="84" spans="1:13" x14ac:dyDescent="0.35">
      <c r="A84" t="s">
        <v>19</v>
      </c>
      <c r="B84" t="s">
        <v>258</v>
      </c>
      <c r="C84">
        <v>9</v>
      </c>
      <c r="D84">
        <v>273.59999999999997</v>
      </c>
      <c r="F84" s="19" t="str">
        <f t="shared" si="2"/>
        <v>California</v>
      </c>
      <c r="G84" t="s">
        <v>258</v>
      </c>
      <c r="H84">
        <v>9</v>
      </c>
      <c r="K84" s="19" t="str">
        <f t="shared" si="1"/>
        <v>California</v>
      </c>
      <c r="L84" t="s">
        <v>258</v>
      </c>
      <c r="M84">
        <v>273.59999999999997</v>
      </c>
    </row>
    <row r="85" spans="1:13" x14ac:dyDescent="0.35">
      <c r="A85" t="s">
        <v>19</v>
      </c>
      <c r="B85" t="s">
        <v>186</v>
      </c>
      <c r="C85">
        <v>60</v>
      </c>
      <c r="D85">
        <v>2690.4</v>
      </c>
      <c r="F85" s="19" t="str">
        <f t="shared" si="2"/>
        <v>California</v>
      </c>
      <c r="G85" t="s">
        <v>186</v>
      </c>
      <c r="H85">
        <v>60</v>
      </c>
      <c r="K85" s="19" t="str">
        <f t="shared" si="1"/>
        <v>California</v>
      </c>
      <c r="L85" t="s">
        <v>186</v>
      </c>
      <c r="M85">
        <v>2690.4</v>
      </c>
    </row>
    <row r="86" spans="1:13" x14ac:dyDescent="0.35">
      <c r="A86" t="s">
        <v>19</v>
      </c>
      <c r="B86" t="s">
        <v>392</v>
      </c>
      <c r="C86">
        <v>2</v>
      </c>
      <c r="D86">
        <v>28.4</v>
      </c>
      <c r="F86" s="19" t="str">
        <f t="shared" si="2"/>
        <v>California</v>
      </c>
      <c r="G86" t="s">
        <v>392</v>
      </c>
      <c r="H86">
        <v>2</v>
      </c>
      <c r="K86" s="19" t="str">
        <f t="shared" si="1"/>
        <v>California</v>
      </c>
      <c r="L86" t="s">
        <v>392</v>
      </c>
      <c r="M86">
        <v>28.4</v>
      </c>
    </row>
    <row r="87" spans="1:13" x14ac:dyDescent="0.35">
      <c r="A87" t="s">
        <v>19</v>
      </c>
      <c r="B87" t="s">
        <v>670</v>
      </c>
      <c r="C87">
        <v>4</v>
      </c>
      <c r="D87">
        <v>204.8</v>
      </c>
      <c r="F87" s="19" t="str">
        <f t="shared" si="2"/>
        <v>California</v>
      </c>
      <c r="G87" t="s">
        <v>670</v>
      </c>
      <c r="H87">
        <v>4</v>
      </c>
      <c r="K87" s="19" t="str">
        <f t="shared" si="1"/>
        <v>California</v>
      </c>
      <c r="L87" t="s">
        <v>670</v>
      </c>
      <c r="M87">
        <v>204.8</v>
      </c>
    </row>
    <row r="88" spans="1:13" x14ac:dyDescent="0.35">
      <c r="A88" t="s">
        <v>19</v>
      </c>
      <c r="B88" t="s">
        <v>802</v>
      </c>
      <c r="C88">
        <v>31</v>
      </c>
      <c r="D88">
        <v>1607.8999999999999</v>
      </c>
      <c r="F88" s="19" t="str">
        <f t="shared" si="2"/>
        <v>California</v>
      </c>
      <c r="G88" t="s">
        <v>802</v>
      </c>
      <c r="H88">
        <v>31</v>
      </c>
      <c r="K88" s="19" t="str">
        <f t="shared" si="1"/>
        <v>California</v>
      </c>
      <c r="L88" t="s">
        <v>802</v>
      </c>
      <c r="M88">
        <v>1607.8999999999999</v>
      </c>
    </row>
    <row r="89" spans="1:13" x14ac:dyDescent="0.35">
      <c r="A89" t="s">
        <v>19</v>
      </c>
      <c r="B89" t="s">
        <v>98</v>
      </c>
      <c r="C89">
        <v>88</v>
      </c>
      <c r="D89">
        <v>6444.9</v>
      </c>
      <c r="F89" s="19" t="str">
        <f t="shared" si="2"/>
        <v>California</v>
      </c>
      <c r="G89" t="s">
        <v>98</v>
      </c>
      <c r="H89">
        <v>88</v>
      </c>
      <c r="K89" s="19" t="str">
        <f t="shared" si="1"/>
        <v>California</v>
      </c>
      <c r="L89" t="s">
        <v>98</v>
      </c>
      <c r="M89">
        <v>6444.9</v>
      </c>
    </row>
    <row r="90" spans="1:13" x14ac:dyDescent="0.35">
      <c r="A90" t="s">
        <v>19</v>
      </c>
      <c r="B90" t="s">
        <v>49</v>
      </c>
      <c r="C90">
        <v>25</v>
      </c>
      <c r="D90">
        <v>1809.3</v>
      </c>
      <c r="F90" s="19" t="str">
        <f t="shared" si="2"/>
        <v>California</v>
      </c>
      <c r="G90" t="s">
        <v>49</v>
      </c>
      <c r="H90">
        <v>25</v>
      </c>
      <c r="K90" s="19" t="str">
        <f t="shared" si="1"/>
        <v>California</v>
      </c>
      <c r="L90" t="s">
        <v>49</v>
      </c>
      <c r="M90">
        <v>1809.3</v>
      </c>
    </row>
    <row r="91" spans="1:13" x14ac:dyDescent="0.35">
      <c r="A91" t="s">
        <v>19</v>
      </c>
      <c r="B91" t="s">
        <v>188</v>
      </c>
      <c r="C91">
        <v>178</v>
      </c>
      <c r="D91">
        <v>9680.399999999996</v>
      </c>
      <c r="F91" s="19" t="str">
        <f t="shared" si="2"/>
        <v>California</v>
      </c>
      <c r="G91" t="s">
        <v>188</v>
      </c>
      <c r="H91">
        <v>178</v>
      </c>
      <c r="K91" s="19" t="str">
        <f t="shared" si="1"/>
        <v>California</v>
      </c>
      <c r="L91" t="s">
        <v>188</v>
      </c>
      <c r="M91">
        <v>9680.399999999996</v>
      </c>
    </row>
    <row r="92" spans="1:13" x14ac:dyDescent="0.35">
      <c r="A92" t="s">
        <v>19</v>
      </c>
      <c r="B92" t="s">
        <v>52</v>
      </c>
      <c r="C92">
        <v>141</v>
      </c>
      <c r="D92">
        <v>9414.7999999999993</v>
      </c>
      <c r="F92" s="19" t="str">
        <f t="shared" si="2"/>
        <v>California</v>
      </c>
      <c r="G92" t="s">
        <v>52</v>
      </c>
      <c r="H92">
        <v>141</v>
      </c>
      <c r="K92" s="19" t="str">
        <f t="shared" si="1"/>
        <v>California</v>
      </c>
      <c r="L92" t="s">
        <v>52</v>
      </c>
      <c r="M92">
        <v>9414.7999999999993</v>
      </c>
    </row>
    <row r="93" spans="1:13" x14ac:dyDescent="0.35">
      <c r="A93" t="s">
        <v>19</v>
      </c>
      <c r="B93" t="s">
        <v>338</v>
      </c>
      <c r="C93">
        <v>6</v>
      </c>
      <c r="D93">
        <v>206.1</v>
      </c>
      <c r="F93" s="19" t="str">
        <f t="shared" si="2"/>
        <v>California</v>
      </c>
      <c r="G93" t="s">
        <v>338</v>
      </c>
      <c r="H93">
        <v>6</v>
      </c>
      <c r="K93" s="19" t="str">
        <f t="shared" si="1"/>
        <v>California</v>
      </c>
      <c r="L93" t="s">
        <v>338</v>
      </c>
      <c r="M93">
        <v>206.1</v>
      </c>
    </row>
    <row r="94" spans="1:13" x14ac:dyDescent="0.35">
      <c r="A94" t="s">
        <v>19</v>
      </c>
      <c r="B94" t="s">
        <v>158</v>
      </c>
      <c r="C94">
        <v>178</v>
      </c>
      <c r="D94">
        <v>7691.3</v>
      </c>
      <c r="F94" s="19" t="str">
        <f t="shared" si="2"/>
        <v>California</v>
      </c>
      <c r="G94" t="s">
        <v>158</v>
      </c>
      <c r="H94">
        <v>178</v>
      </c>
      <c r="K94" s="19" t="str">
        <f t="shared" si="1"/>
        <v>California</v>
      </c>
      <c r="L94" t="s">
        <v>158</v>
      </c>
      <c r="M94">
        <v>7691.3</v>
      </c>
    </row>
    <row r="95" spans="1:13" x14ac:dyDescent="0.35">
      <c r="A95" t="s">
        <v>19</v>
      </c>
      <c r="B95" t="s">
        <v>55</v>
      </c>
      <c r="C95">
        <v>699</v>
      </c>
      <c r="D95">
        <v>37784.900000000016</v>
      </c>
      <c r="F95" s="19" t="str">
        <f t="shared" si="2"/>
        <v>California</v>
      </c>
      <c r="G95" t="s">
        <v>55</v>
      </c>
      <c r="H95">
        <v>699</v>
      </c>
      <c r="K95" s="19" t="str">
        <f t="shared" si="1"/>
        <v>California</v>
      </c>
      <c r="L95" t="s">
        <v>55</v>
      </c>
      <c r="M95">
        <v>37784.900000000016</v>
      </c>
    </row>
    <row r="96" spans="1:13" x14ac:dyDescent="0.35">
      <c r="A96" t="s">
        <v>19</v>
      </c>
      <c r="B96" t="s">
        <v>342</v>
      </c>
      <c r="C96">
        <v>23</v>
      </c>
      <c r="D96">
        <v>1129.7</v>
      </c>
      <c r="F96" s="19" t="str">
        <f t="shared" si="2"/>
        <v>California</v>
      </c>
      <c r="G96" t="s">
        <v>342</v>
      </c>
      <c r="H96">
        <v>23</v>
      </c>
      <c r="K96" s="19" t="str">
        <f t="shared" si="1"/>
        <v>California</v>
      </c>
      <c r="L96" t="s">
        <v>342</v>
      </c>
      <c r="M96">
        <v>1129.7</v>
      </c>
    </row>
    <row r="97" spans="1:13" x14ac:dyDescent="0.35">
      <c r="A97" t="s">
        <v>19</v>
      </c>
      <c r="B97" t="s">
        <v>59</v>
      </c>
      <c r="C97">
        <v>356</v>
      </c>
      <c r="D97">
        <v>20988.9</v>
      </c>
      <c r="F97" s="19" t="str">
        <f t="shared" si="2"/>
        <v>California</v>
      </c>
      <c r="G97" t="s">
        <v>59</v>
      </c>
      <c r="H97">
        <v>356</v>
      </c>
      <c r="K97" s="19" t="str">
        <f t="shared" si="1"/>
        <v>California</v>
      </c>
      <c r="L97" t="s">
        <v>59</v>
      </c>
      <c r="M97">
        <v>20988.9</v>
      </c>
    </row>
    <row r="98" spans="1:13" x14ac:dyDescent="0.35">
      <c r="A98" t="s">
        <v>19</v>
      </c>
      <c r="B98" t="s">
        <v>62</v>
      </c>
      <c r="C98">
        <v>1768</v>
      </c>
      <c r="D98">
        <v>98367.099999999977</v>
      </c>
      <c r="F98" s="19" t="str">
        <f t="shared" si="2"/>
        <v>California</v>
      </c>
      <c r="G98" t="s">
        <v>62</v>
      </c>
      <c r="H98">
        <v>1768</v>
      </c>
      <c r="K98" s="19" t="str">
        <f t="shared" si="1"/>
        <v>California</v>
      </c>
      <c r="L98" t="s">
        <v>62</v>
      </c>
      <c r="M98">
        <v>98367.099999999977</v>
      </c>
    </row>
    <row r="99" spans="1:13" x14ac:dyDescent="0.35">
      <c r="A99" t="s">
        <v>19</v>
      </c>
      <c r="B99" t="s">
        <v>103</v>
      </c>
      <c r="C99">
        <v>307</v>
      </c>
      <c r="D99">
        <v>21911.9</v>
      </c>
      <c r="F99" s="19" t="str">
        <f t="shared" si="2"/>
        <v>California</v>
      </c>
      <c r="G99" t="s">
        <v>103</v>
      </c>
      <c r="H99">
        <v>307</v>
      </c>
      <c r="K99" s="19" t="str">
        <f t="shared" si="1"/>
        <v>California</v>
      </c>
      <c r="L99" t="s">
        <v>103</v>
      </c>
      <c r="M99">
        <v>21911.9</v>
      </c>
    </row>
    <row r="100" spans="1:13" x14ac:dyDescent="0.35">
      <c r="A100" t="s">
        <v>19</v>
      </c>
      <c r="B100" t="s">
        <v>201</v>
      </c>
      <c r="C100">
        <v>117</v>
      </c>
      <c r="D100">
        <v>5441.2</v>
      </c>
      <c r="F100" s="19" t="str">
        <f t="shared" si="2"/>
        <v>California</v>
      </c>
      <c r="G100" t="s">
        <v>201</v>
      </c>
      <c r="H100">
        <v>117</v>
      </c>
      <c r="K100" s="19" t="str">
        <f t="shared" si="1"/>
        <v>California</v>
      </c>
      <c r="L100" t="s">
        <v>201</v>
      </c>
      <c r="M100">
        <v>5441.2</v>
      </c>
    </row>
    <row r="101" spans="1:13" x14ac:dyDescent="0.35">
      <c r="A101" t="s">
        <v>19</v>
      </c>
      <c r="B101" t="s">
        <v>429</v>
      </c>
      <c r="C101">
        <v>13</v>
      </c>
      <c r="D101">
        <v>392.8</v>
      </c>
      <c r="F101" s="19" t="str">
        <f t="shared" si="2"/>
        <v>California</v>
      </c>
      <c r="G101" t="s">
        <v>429</v>
      </c>
      <c r="H101">
        <v>13</v>
      </c>
      <c r="K101" s="19" t="str">
        <f t="shared" si="1"/>
        <v>California</v>
      </c>
      <c r="L101" t="s">
        <v>429</v>
      </c>
      <c r="M101">
        <v>392.8</v>
      </c>
    </row>
    <row r="102" spans="1:13" x14ac:dyDescent="0.35">
      <c r="A102" t="s">
        <v>19</v>
      </c>
      <c r="B102" t="s">
        <v>72</v>
      </c>
      <c r="C102">
        <v>364</v>
      </c>
      <c r="D102">
        <v>16172.000000000005</v>
      </c>
      <c r="F102" s="19" t="str">
        <f t="shared" si="2"/>
        <v>California</v>
      </c>
      <c r="G102" t="s">
        <v>72</v>
      </c>
      <c r="H102">
        <v>364</v>
      </c>
      <c r="K102" s="19" t="str">
        <f t="shared" si="1"/>
        <v>California</v>
      </c>
      <c r="L102" t="s">
        <v>72</v>
      </c>
      <c r="M102">
        <v>16172.000000000005</v>
      </c>
    </row>
    <row r="103" spans="1:13" x14ac:dyDescent="0.35">
      <c r="A103" t="s">
        <v>19</v>
      </c>
      <c r="B103" t="s">
        <v>74</v>
      </c>
      <c r="C103">
        <v>95</v>
      </c>
      <c r="D103">
        <v>4334.9999999999991</v>
      </c>
      <c r="F103" s="19" t="str">
        <f t="shared" si="2"/>
        <v>California</v>
      </c>
      <c r="G103" t="s">
        <v>74</v>
      </c>
      <c r="H103">
        <v>95</v>
      </c>
      <c r="K103" s="19" t="str">
        <f t="shared" si="1"/>
        <v>California</v>
      </c>
      <c r="L103" t="s">
        <v>74</v>
      </c>
      <c r="M103">
        <v>4334.9999999999991</v>
      </c>
    </row>
    <row r="104" spans="1:13" x14ac:dyDescent="0.35">
      <c r="A104" t="s">
        <v>19</v>
      </c>
      <c r="B104" t="s">
        <v>77</v>
      </c>
      <c r="C104">
        <v>737</v>
      </c>
      <c r="D104">
        <v>37449.000000000007</v>
      </c>
      <c r="F104" s="19" t="str">
        <f t="shared" si="2"/>
        <v>California</v>
      </c>
      <c r="G104" t="s">
        <v>77</v>
      </c>
      <c r="H104">
        <v>737</v>
      </c>
      <c r="K104" s="19" t="str">
        <f t="shared" si="1"/>
        <v>California</v>
      </c>
      <c r="L104" t="s">
        <v>77</v>
      </c>
      <c r="M104">
        <v>37449.000000000007</v>
      </c>
    </row>
    <row r="105" spans="1:13" x14ac:dyDescent="0.35">
      <c r="A105" t="s">
        <v>19</v>
      </c>
      <c r="B105" t="s">
        <v>309</v>
      </c>
      <c r="C105">
        <v>39</v>
      </c>
      <c r="D105">
        <v>2447.5</v>
      </c>
      <c r="F105" s="19" t="str">
        <f t="shared" si="2"/>
        <v>California</v>
      </c>
      <c r="G105" t="s">
        <v>309</v>
      </c>
      <c r="H105">
        <v>39</v>
      </c>
      <c r="K105" s="19" t="str">
        <f t="shared" si="1"/>
        <v>California</v>
      </c>
      <c r="L105" t="s">
        <v>309</v>
      </c>
      <c r="M105">
        <v>2447.5</v>
      </c>
    </row>
    <row r="106" spans="1:13" x14ac:dyDescent="0.35">
      <c r="A106" t="s">
        <v>19</v>
      </c>
      <c r="B106" t="s">
        <v>1116</v>
      </c>
      <c r="C106">
        <v>56</v>
      </c>
      <c r="D106">
        <v>3391.1</v>
      </c>
      <c r="F106" s="19" t="str">
        <f t="shared" si="2"/>
        <v>California</v>
      </c>
      <c r="G106" t="s">
        <v>1116</v>
      </c>
      <c r="H106">
        <v>56</v>
      </c>
      <c r="K106" s="19" t="str">
        <f t="shared" si="1"/>
        <v>California</v>
      </c>
      <c r="L106" t="s">
        <v>1116</v>
      </c>
      <c r="M106">
        <v>3391.1</v>
      </c>
    </row>
    <row r="107" spans="1:13" x14ac:dyDescent="0.35">
      <c r="A107" t="s">
        <v>19</v>
      </c>
      <c r="B107" t="s">
        <v>700</v>
      </c>
      <c r="C107">
        <v>2</v>
      </c>
      <c r="D107">
        <v>30.8</v>
      </c>
      <c r="F107" s="19" t="str">
        <f t="shared" si="2"/>
        <v>California</v>
      </c>
      <c r="G107" t="s">
        <v>700</v>
      </c>
      <c r="H107">
        <v>2</v>
      </c>
      <c r="K107" s="19" t="str">
        <f t="shared" si="1"/>
        <v>California</v>
      </c>
      <c r="L107" t="s">
        <v>700</v>
      </c>
      <c r="M107">
        <v>30.8</v>
      </c>
    </row>
    <row r="108" spans="1:13" x14ac:dyDescent="0.35">
      <c r="A108" t="s">
        <v>19</v>
      </c>
      <c r="B108" t="s">
        <v>268</v>
      </c>
      <c r="C108">
        <v>8</v>
      </c>
      <c r="D108">
        <v>332.3</v>
      </c>
      <c r="F108" s="19" t="str">
        <f t="shared" si="2"/>
        <v>California</v>
      </c>
      <c r="G108" t="s">
        <v>268</v>
      </c>
      <c r="H108">
        <v>8</v>
      </c>
      <c r="K108" s="19" t="str">
        <f t="shared" si="1"/>
        <v>California</v>
      </c>
      <c r="L108" t="s">
        <v>268</v>
      </c>
      <c r="M108">
        <v>332.3</v>
      </c>
    </row>
    <row r="109" spans="1:13" x14ac:dyDescent="0.35">
      <c r="A109" t="s">
        <v>19</v>
      </c>
      <c r="B109" t="s">
        <v>377</v>
      </c>
      <c r="C109">
        <v>52</v>
      </c>
      <c r="D109">
        <v>3175.9999999999995</v>
      </c>
      <c r="F109" s="19" t="str">
        <f t="shared" si="2"/>
        <v>California</v>
      </c>
      <c r="G109" t="s">
        <v>377</v>
      </c>
      <c r="H109">
        <v>52</v>
      </c>
      <c r="K109" s="19" t="str">
        <f t="shared" si="1"/>
        <v>California</v>
      </c>
      <c r="L109" t="s">
        <v>377</v>
      </c>
      <c r="M109">
        <v>3175.9999999999995</v>
      </c>
    </row>
    <row r="110" spans="1:13" x14ac:dyDescent="0.35">
      <c r="A110" t="s">
        <v>19</v>
      </c>
      <c r="B110" t="s">
        <v>108</v>
      </c>
      <c r="C110">
        <v>295</v>
      </c>
      <c r="D110">
        <v>20939.600000000002</v>
      </c>
      <c r="F110" s="19" t="str">
        <f t="shared" si="2"/>
        <v>California</v>
      </c>
      <c r="G110" t="s">
        <v>108</v>
      </c>
      <c r="H110">
        <v>295</v>
      </c>
      <c r="K110" s="19" t="str">
        <f t="shared" si="1"/>
        <v>California</v>
      </c>
      <c r="L110" t="s">
        <v>108</v>
      </c>
      <c r="M110">
        <v>20939.600000000002</v>
      </c>
    </row>
    <row r="111" spans="1:13" x14ac:dyDescent="0.35">
      <c r="A111" t="s">
        <v>19</v>
      </c>
      <c r="B111" t="s">
        <v>110</v>
      </c>
      <c r="C111">
        <v>195</v>
      </c>
      <c r="D111">
        <v>10185.899999999996</v>
      </c>
      <c r="F111" s="19" t="str">
        <f t="shared" si="2"/>
        <v>California</v>
      </c>
      <c r="G111" t="s">
        <v>110</v>
      </c>
      <c r="H111">
        <v>195</v>
      </c>
      <c r="K111" s="19" t="str">
        <f t="shared" si="1"/>
        <v>California</v>
      </c>
      <c r="L111" t="s">
        <v>110</v>
      </c>
      <c r="M111">
        <v>10185.899999999996</v>
      </c>
    </row>
    <row r="112" spans="1:13" x14ac:dyDescent="0.35">
      <c r="A112" t="s">
        <v>19</v>
      </c>
      <c r="B112" t="s">
        <v>292</v>
      </c>
      <c r="C112">
        <v>20</v>
      </c>
      <c r="D112">
        <v>958.7</v>
      </c>
      <c r="F112" s="19" t="str">
        <f t="shared" si="2"/>
        <v>California</v>
      </c>
      <c r="G112" t="s">
        <v>292</v>
      </c>
      <c r="H112">
        <v>20</v>
      </c>
      <c r="K112" s="19" t="str">
        <f t="shared" si="1"/>
        <v>California</v>
      </c>
      <c r="L112" t="s">
        <v>292</v>
      </c>
      <c r="M112">
        <v>958.7</v>
      </c>
    </row>
    <row r="113" spans="1:13" x14ac:dyDescent="0.35">
      <c r="A113" t="s">
        <v>19</v>
      </c>
      <c r="B113" t="s">
        <v>79</v>
      </c>
      <c r="C113">
        <v>6</v>
      </c>
      <c r="D113">
        <v>323</v>
      </c>
      <c r="F113" s="19" t="str">
        <f t="shared" si="2"/>
        <v>California</v>
      </c>
      <c r="G113" t="s">
        <v>79</v>
      </c>
      <c r="H113">
        <v>6</v>
      </c>
      <c r="K113" s="19" t="str">
        <f t="shared" si="1"/>
        <v>California</v>
      </c>
      <c r="L113" t="s">
        <v>79</v>
      </c>
      <c r="M113">
        <v>323</v>
      </c>
    </row>
    <row r="114" spans="1:13" x14ac:dyDescent="0.35">
      <c r="A114" t="s">
        <v>19</v>
      </c>
      <c r="B114" t="s">
        <v>608</v>
      </c>
      <c r="C114">
        <v>5</v>
      </c>
      <c r="D114">
        <v>167.70000000000002</v>
      </c>
      <c r="F114" s="19" t="str">
        <f t="shared" si="2"/>
        <v>California</v>
      </c>
      <c r="G114" t="s">
        <v>608</v>
      </c>
      <c r="H114">
        <v>5</v>
      </c>
      <c r="K114" s="19" t="str">
        <f t="shared" si="1"/>
        <v>California</v>
      </c>
      <c r="L114" t="s">
        <v>608</v>
      </c>
      <c r="M114">
        <v>167.70000000000002</v>
      </c>
    </row>
    <row r="115" spans="1:13" x14ac:dyDescent="0.35">
      <c r="A115" t="s">
        <v>19</v>
      </c>
      <c r="B115" t="s">
        <v>113</v>
      </c>
      <c r="C115">
        <v>94</v>
      </c>
      <c r="D115">
        <v>3978.5</v>
      </c>
      <c r="F115" s="19" t="str">
        <f t="shared" si="2"/>
        <v>California</v>
      </c>
      <c r="G115" t="s">
        <v>113</v>
      </c>
      <c r="H115">
        <v>94</v>
      </c>
      <c r="K115" s="19" t="str">
        <f t="shared" si="1"/>
        <v>California</v>
      </c>
      <c r="L115" t="s">
        <v>113</v>
      </c>
      <c r="M115">
        <v>3978.5</v>
      </c>
    </row>
    <row r="116" spans="1:13" x14ac:dyDescent="0.35">
      <c r="A116" t="s">
        <v>19</v>
      </c>
      <c r="B116" t="s">
        <v>997</v>
      </c>
      <c r="C116">
        <v>28</v>
      </c>
      <c r="D116">
        <v>1405</v>
      </c>
      <c r="F116" s="19" t="str">
        <f t="shared" si="2"/>
        <v>California</v>
      </c>
      <c r="G116" t="s">
        <v>997</v>
      </c>
      <c r="H116">
        <v>28</v>
      </c>
      <c r="K116" s="19" t="str">
        <f t="shared" si="1"/>
        <v>California</v>
      </c>
      <c r="L116" t="s">
        <v>997</v>
      </c>
      <c r="M116">
        <v>1405</v>
      </c>
    </row>
    <row r="117" spans="1:13" x14ac:dyDescent="0.35">
      <c r="A117" t="s">
        <v>19</v>
      </c>
      <c r="B117" t="s">
        <v>82</v>
      </c>
      <c r="C117">
        <v>179</v>
      </c>
      <c r="D117">
        <v>9869.0999999999985</v>
      </c>
      <c r="F117" s="19" t="str">
        <f t="shared" si="2"/>
        <v>California</v>
      </c>
      <c r="G117" t="s">
        <v>82</v>
      </c>
      <c r="H117">
        <v>179</v>
      </c>
      <c r="K117" s="19" t="str">
        <f t="shared" si="1"/>
        <v>California</v>
      </c>
      <c r="L117" t="s">
        <v>82</v>
      </c>
      <c r="M117">
        <v>9869.0999999999985</v>
      </c>
    </row>
    <row r="118" spans="1:13" x14ac:dyDescent="0.35">
      <c r="A118" t="s">
        <v>19</v>
      </c>
      <c r="B118" t="s">
        <v>243</v>
      </c>
      <c r="C118">
        <v>15</v>
      </c>
      <c r="D118">
        <v>615.29999999999995</v>
      </c>
      <c r="F118" s="19" t="str">
        <f t="shared" si="2"/>
        <v>California</v>
      </c>
      <c r="G118" t="s">
        <v>243</v>
      </c>
      <c r="H118">
        <v>15</v>
      </c>
      <c r="K118" s="19" t="str">
        <f t="shared" si="1"/>
        <v>California</v>
      </c>
      <c r="L118" t="s">
        <v>243</v>
      </c>
      <c r="M118">
        <v>615.29999999999995</v>
      </c>
    </row>
    <row r="119" spans="1:13" x14ac:dyDescent="0.35">
      <c r="A119" t="s">
        <v>19</v>
      </c>
      <c r="B119" t="s">
        <v>1911</v>
      </c>
      <c r="C119">
        <v>3</v>
      </c>
      <c r="D119">
        <v>285</v>
      </c>
      <c r="F119" s="19" t="str">
        <f t="shared" si="2"/>
        <v>California</v>
      </c>
      <c r="G119" t="s">
        <v>1911</v>
      </c>
      <c r="H119">
        <v>3</v>
      </c>
      <c r="K119" s="19" t="str">
        <f t="shared" si="1"/>
        <v>California</v>
      </c>
      <c r="L119" t="s">
        <v>1911</v>
      </c>
      <c r="M119">
        <v>285</v>
      </c>
    </row>
    <row r="123" spans="1:13" x14ac:dyDescent="0.35">
      <c r="A123" s="12" t="s">
        <v>2542</v>
      </c>
      <c r="B123" s="12" t="s">
        <v>2551</v>
      </c>
    </row>
    <row r="124" spans="1:13" x14ac:dyDescent="0.35">
      <c r="A124" s="12" t="s">
        <v>2549</v>
      </c>
      <c r="B124">
        <v>1</v>
      </c>
      <c r="C124">
        <v>2</v>
      </c>
      <c r="D124">
        <v>3</v>
      </c>
      <c r="E124">
        <v>4</v>
      </c>
      <c r="F124">
        <v>5</v>
      </c>
      <c r="G124" t="s">
        <v>2550</v>
      </c>
    </row>
    <row r="125" spans="1:13" x14ac:dyDescent="0.35">
      <c r="A125" s="13" t="s">
        <v>2558</v>
      </c>
      <c r="B125">
        <v>7</v>
      </c>
      <c r="C125">
        <v>37</v>
      </c>
      <c r="D125">
        <v>150</v>
      </c>
      <c r="E125">
        <v>312</v>
      </c>
      <c r="F125">
        <v>224</v>
      </c>
      <c r="G125">
        <v>730</v>
      </c>
    </row>
    <row r="126" spans="1:13" x14ac:dyDescent="0.35">
      <c r="A126" s="13" t="s">
        <v>2559</v>
      </c>
      <c r="B126">
        <v>8</v>
      </c>
      <c r="C126">
        <v>51</v>
      </c>
      <c r="D126">
        <v>182</v>
      </c>
      <c r="E126">
        <v>373</v>
      </c>
      <c r="F126">
        <v>247</v>
      </c>
      <c r="G126">
        <v>861</v>
      </c>
    </row>
    <row r="127" spans="1:13" x14ac:dyDescent="0.35">
      <c r="A127" s="13" t="s">
        <v>2560</v>
      </c>
      <c r="B127">
        <v>6</v>
      </c>
      <c r="C127">
        <v>39</v>
      </c>
      <c r="D127">
        <v>163</v>
      </c>
      <c r="E127">
        <v>351</v>
      </c>
      <c r="F127">
        <v>250</v>
      </c>
      <c r="G127">
        <v>809</v>
      </c>
    </row>
    <row r="128" spans="1:13" x14ac:dyDescent="0.35">
      <c r="A128" s="13" t="s">
        <v>2550</v>
      </c>
      <c r="B128">
        <v>21</v>
      </c>
      <c r="C128">
        <v>127</v>
      </c>
      <c r="D128">
        <v>495</v>
      </c>
      <c r="E128">
        <v>1036</v>
      </c>
      <c r="F128">
        <v>721</v>
      </c>
      <c r="G128">
        <v>2400</v>
      </c>
    </row>
    <row r="131" spans="1:2" x14ac:dyDescent="0.35">
      <c r="A131" s="12" t="s">
        <v>2549</v>
      </c>
      <c r="B131" t="s">
        <v>2542</v>
      </c>
    </row>
    <row r="132" spans="1:2" x14ac:dyDescent="0.35">
      <c r="A132" s="13">
        <v>0</v>
      </c>
      <c r="B132">
        <v>175</v>
      </c>
    </row>
    <row r="133" spans="1:2" x14ac:dyDescent="0.35">
      <c r="A133" s="13">
        <v>1</v>
      </c>
      <c r="B133">
        <v>888</v>
      </c>
    </row>
    <row r="134" spans="1:2" x14ac:dyDescent="0.35">
      <c r="A134" s="13">
        <v>2</v>
      </c>
      <c r="B134">
        <v>538</v>
      </c>
    </row>
    <row r="135" spans="1:2" x14ac:dyDescent="0.35">
      <c r="A135" s="13">
        <v>3</v>
      </c>
      <c r="B135">
        <v>344</v>
      </c>
    </row>
    <row r="136" spans="1:2" x14ac:dyDescent="0.35">
      <c r="A136" s="13">
        <v>4</v>
      </c>
      <c r="B136">
        <v>200</v>
      </c>
    </row>
    <row r="137" spans="1:2" x14ac:dyDescent="0.35">
      <c r="A137" s="13">
        <v>5</v>
      </c>
      <c r="B137">
        <v>94</v>
      </c>
    </row>
    <row r="138" spans="1:2" x14ac:dyDescent="0.35">
      <c r="A138" s="13">
        <v>6</v>
      </c>
      <c r="B138">
        <v>51</v>
      </c>
    </row>
    <row r="139" spans="1:2" x14ac:dyDescent="0.35">
      <c r="A139" s="13">
        <v>7</v>
      </c>
      <c r="B139">
        <v>32</v>
      </c>
    </row>
    <row r="140" spans="1:2" x14ac:dyDescent="0.35">
      <c r="A140" s="13">
        <v>8</v>
      </c>
      <c r="B140">
        <v>23</v>
      </c>
    </row>
    <row r="141" spans="1:2" x14ac:dyDescent="0.35">
      <c r="A141" s="13">
        <v>9</v>
      </c>
      <c r="B141">
        <v>9</v>
      </c>
    </row>
    <row r="142" spans="1:2" x14ac:dyDescent="0.35">
      <c r="A142" s="13">
        <v>10</v>
      </c>
      <c r="B142">
        <v>8</v>
      </c>
    </row>
    <row r="143" spans="1:2" x14ac:dyDescent="0.35">
      <c r="A143" s="13">
        <v>11</v>
      </c>
      <c r="B143">
        <v>11</v>
      </c>
    </row>
    <row r="144" spans="1:2" x14ac:dyDescent="0.35">
      <c r="A144" s="13">
        <v>12</v>
      </c>
      <c r="B144">
        <v>4</v>
      </c>
    </row>
    <row r="145" spans="1:2" x14ac:dyDescent="0.35">
      <c r="A145" s="13">
        <v>13</v>
      </c>
      <c r="B145">
        <v>10</v>
      </c>
    </row>
    <row r="146" spans="1:2" x14ac:dyDescent="0.35">
      <c r="A146" s="13">
        <v>14</v>
      </c>
      <c r="B146">
        <v>13</v>
      </c>
    </row>
    <row r="147" spans="1:2" x14ac:dyDescent="0.35">
      <c r="A147" s="13" t="s">
        <v>2550</v>
      </c>
      <c r="B147">
        <v>2400</v>
      </c>
    </row>
  </sheetData>
  <conditionalFormatting sqref="J25:M28">
    <cfRule type="colorScale" priority="1">
      <colorScale>
        <cfvo type="min"/>
        <cfvo type="percentile" val="50"/>
        <cfvo type="max"/>
        <color rgb="FFF8696B"/>
        <color rgb="FFFCFCFF"/>
        <color rgb="FF5A8AC6"/>
      </colorScale>
    </cfRule>
  </conditionalFormatting>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I1" sqref="I1:I1048576"/>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8.81640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opLeftCell="A4" workbookViewId="0">
      <selection activeCell="B18" sqref="B18"/>
    </sheetView>
  </sheetViews>
  <sheetFormatPr defaultRowHeight="14.5" x14ac:dyDescent="0.35"/>
  <cols>
    <col min="1" max="1" width="3.6328125"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s="20" t="s">
        <v>2510</v>
      </c>
    </row>
    <row r="12" spans="2:2" x14ac:dyDescent="0.35">
      <c r="B12" s="20" t="s">
        <v>2510</v>
      </c>
    </row>
    <row r="13" spans="2:2" x14ac:dyDescent="0.35">
      <c r="B13" s="20" t="s">
        <v>2510</v>
      </c>
    </row>
    <row r="14" spans="2:2" x14ac:dyDescent="0.35">
      <c r="B14" s="20" t="s">
        <v>2510</v>
      </c>
    </row>
    <row r="15" spans="2:2" x14ac:dyDescent="0.35">
      <c r="B15" s="20" t="s">
        <v>2510</v>
      </c>
    </row>
    <row r="16" spans="2:2" x14ac:dyDescent="0.35">
      <c r="B16" s="20" t="s">
        <v>2510</v>
      </c>
    </row>
    <row r="17" spans="2:2" x14ac:dyDescent="0.35">
      <c r="B17" s="20" t="s">
        <v>2510</v>
      </c>
    </row>
    <row r="18" spans="2:2" x14ac:dyDescent="0.35">
      <c r="B18" t="s">
        <v>2511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topLeftCell="B1" zoomScale="50" zoomScaleNormal="40" workbookViewId="0">
      <selection activeCell="H49" sqref="H49"/>
    </sheetView>
  </sheetViews>
  <sheetFormatPr defaultRowHeight="14.5" x14ac:dyDescent="0.35"/>
  <cols>
    <col min="1" max="1" width="3.36328125" customWidth="1"/>
    <col min="2" max="2" width="22.1796875" customWidth="1"/>
    <col min="3" max="4" width="3.36328125" customWidth="1"/>
    <col min="26" max="26" width="3.36328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3:H24"/>
  <sheetViews>
    <sheetView workbookViewId="0">
      <selection activeCell="D29" sqref="D29"/>
    </sheetView>
  </sheetViews>
  <sheetFormatPr defaultRowHeight="14.5" x14ac:dyDescent="0.35"/>
  <cols>
    <col min="1" max="1" width="3.36328125" customWidth="1"/>
    <col min="8" max="8" width="37.36328125" customWidth="1"/>
  </cols>
  <sheetData>
    <row r="3" spans="2:8" x14ac:dyDescent="0.35">
      <c r="B3" t="s">
        <v>2512</v>
      </c>
    </row>
    <row r="4" spans="2:8" x14ac:dyDescent="0.35">
      <c r="H4" s="11"/>
    </row>
    <row r="5" spans="2:8" x14ac:dyDescent="0.35">
      <c r="B5" t="s">
        <v>2513</v>
      </c>
      <c r="H5" s="11"/>
    </row>
    <row r="6" spans="2:8" x14ac:dyDescent="0.35">
      <c r="B6" s="5"/>
      <c r="C6" t="s">
        <v>2514</v>
      </c>
      <c r="D6" t="s">
        <v>2520</v>
      </c>
    </row>
    <row r="7" spans="2:8" x14ac:dyDescent="0.35">
      <c r="B7" s="6"/>
      <c r="C7" t="s">
        <v>2515</v>
      </c>
      <c r="D7" t="s">
        <v>2521</v>
      </c>
    </row>
    <row r="8" spans="2:8" x14ac:dyDescent="0.35">
      <c r="B8" s="7"/>
      <c r="C8" t="s">
        <v>2516</v>
      </c>
      <c r="D8" t="s">
        <v>2522</v>
      </c>
    </row>
    <row r="9" spans="2:8" x14ac:dyDescent="0.35">
      <c r="B9" s="8"/>
      <c r="C9" t="s">
        <v>2517</v>
      </c>
      <c r="D9" t="s">
        <v>2523</v>
      </c>
    </row>
    <row r="10" spans="2:8" x14ac:dyDescent="0.35">
      <c r="B10" s="9"/>
      <c r="C10" t="s">
        <v>2518</v>
      </c>
      <c r="D10" t="s">
        <v>2524</v>
      </c>
    </row>
    <row r="11" spans="2:8" x14ac:dyDescent="0.35">
      <c r="B11" s="2"/>
      <c r="C11" t="s">
        <v>2519</v>
      </c>
      <c r="D11" t="s">
        <v>2525</v>
      </c>
    </row>
    <row r="13" spans="2:8" x14ac:dyDescent="0.35">
      <c r="B13" t="s">
        <v>2526</v>
      </c>
    </row>
    <row r="14" spans="2:8" x14ac:dyDescent="0.35">
      <c r="B14" t="s">
        <v>2527</v>
      </c>
      <c r="C14" t="s">
        <v>2532</v>
      </c>
    </row>
    <row r="15" spans="2:8" x14ac:dyDescent="0.35">
      <c r="B15" t="s">
        <v>2528</v>
      </c>
      <c r="C15" t="s">
        <v>2</v>
      </c>
    </row>
    <row r="16" spans="2:8" x14ac:dyDescent="0.35">
      <c r="B16" t="s">
        <v>2529</v>
      </c>
      <c r="C16" t="s">
        <v>4</v>
      </c>
    </row>
    <row r="17" spans="2:3" x14ac:dyDescent="0.35">
      <c r="B17" t="s">
        <v>2530</v>
      </c>
      <c r="C17" t="s">
        <v>2533</v>
      </c>
    </row>
    <row r="18" spans="2:3" x14ac:dyDescent="0.35">
      <c r="B18" t="s">
        <v>2531</v>
      </c>
      <c r="C18" t="s">
        <v>2534</v>
      </c>
    </row>
    <row r="21" spans="2:3" x14ac:dyDescent="0.35">
      <c r="B21" t="s">
        <v>2535</v>
      </c>
    </row>
    <row r="22" spans="2:3" x14ac:dyDescent="0.35">
      <c r="B22" t="s">
        <v>2536</v>
      </c>
      <c r="C22" t="s">
        <v>2537</v>
      </c>
    </row>
    <row r="23" spans="2:3" x14ac:dyDescent="0.35">
      <c r="B23" t="s">
        <v>2538</v>
      </c>
      <c r="C23" t="s">
        <v>2539</v>
      </c>
    </row>
    <row r="24" spans="2:3" x14ac:dyDescent="0.35">
      <c r="B24" s="10" t="s">
        <v>2540</v>
      </c>
      <c r="C24" t="s">
        <v>2541</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Pivots</vt:lpstr>
      <vt:lpstr>Data</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AMOD NAGBHIDKAR</dc:creator>
  <cp:lastModifiedBy>AMOD NAGBHIDKAR</cp:lastModifiedBy>
  <dcterms:created xsi:type="dcterms:W3CDTF">2025-06-13T02:42:26Z</dcterms:created>
  <dcterms:modified xsi:type="dcterms:W3CDTF">2025-11-14T06:01:14Z</dcterms:modified>
</cp:coreProperties>
</file>